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RIA\Desktop\scan\"/>
    </mc:Choice>
  </mc:AlternateContent>
  <xr:revisionPtr revIDLastSave="0" documentId="13_ncr:1_{51050FE5-E9F4-4D61-A2E7-AE0788CF60AE}" xr6:coauthVersionLast="47" xr6:coauthVersionMax="47" xr10:uidLastSave="{00000000-0000-0000-0000-000000000000}"/>
  <workbookProtection workbookAlgorithmName="SHA-512" workbookHashValue="ScPDQl/hPOMJD5QU4Fk+nNuCqwcyVF9aq9Jyi7172HSiaWd3N/lOoSBAOVwUIcgvHXbOmw+eA6+uEwpU75MsiQ==" workbookSaltValue="Tzn9vCLVPpyANhJabw3NYw==" workbookSpinCount="100000" lockStructure="1"/>
  <bookViews>
    <workbookView xWindow="-120" yWindow="-120" windowWidth="29040" windowHeight="15720" activeTab="1" xr2:uid="{00000000-000D-0000-FFFF-FFFF00000000}"/>
  </bookViews>
  <sheets>
    <sheet name="Dashborad" sheetId="1" r:id="rId1"/>
    <sheet name="الاجازات الدراسيه" sheetId="2" r:id="rId2"/>
    <sheet name="الاعدادات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K6" i="2"/>
  <c r="L6" i="2"/>
  <c r="N6" i="2"/>
  <c r="K34" i="2"/>
  <c r="L34" i="2"/>
  <c r="M34" i="2"/>
  <c r="N34" i="2"/>
  <c r="K54" i="2"/>
  <c r="L54" i="2"/>
  <c r="M54" i="2"/>
  <c r="N54" i="2"/>
  <c r="K53" i="2"/>
  <c r="L53" i="2"/>
  <c r="M53" i="2"/>
  <c r="N53" i="2"/>
  <c r="K52" i="2"/>
  <c r="L52" i="2" s="1"/>
  <c r="M52" i="2"/>
  <c r="K50" i="2"/>
  <c r="N50" i="2" s="1"/>
  <c r="K51" i="2"/>
  <c r="L51" i="2" s="1"/>
  <c r="M51" i="2"/>
  <c r="L50" i="2"/>
  <c r="M50" i="2"/>
  <c r="K49" i="2"/>
  <c r="L49" i="2"/>
  <c r="M49" i="2"/>
  <c r="N49" i="2"/>
  <c r="K48" i="2"/>
  <c r="L48" i="2"/>
  <c r="M48" i="2"/>
  <c r="N48" i="2"/>
  <c r="K47" i="2"/>
  <c r="N47" i="2" s="1"/>
  <c r="L47" i="2"/>
  <c r="M47" i="2"/>
  <c r="K46" i="2"/>
  <c r="L46" i="2" s="1"/>
  <c r="M46" i="2"/>
  <c r="K45" i="2"/>
  <c r="L45" i="2"/>
  <c r="M45" i="2"/>
  <c r="N45" i="2"/>
  <c r="K44" i="2"/>
  <c r="L44" i="2" s="1"/>
  <c r="M44" i="2"/>
  <c r="K43" i="2"/>
  <c r="N43" i="2" s="1"/>
  <c r="M43" i="2"/>
  <c r="K42" i="2"/>
  <c r="L42" i="2"/>
  <c r="M42" i="2"/>
  <c r="N42" i="2"/>
  <c r="K41" i="2"/>
  <c r="L41" i="2"/>
  <c r="M41" i="2"/>
  <c r="N41" i="2"/>
  <c r="K40" i="2"/>
  <c r="N40" i="2" s="1"/>
  <c r="M40" i="2"/>
  <c r="M60" i="2"/>
  <c r="M61" i="2"/>
  <c r="M58" i="2"/>
  <c r="M59" i="2"/>
  <c r="M56" i="2"/>
  <c r="M57" i="2"/>
  <c r="K39" i="2"/>
  <c r="L39" i="2" s="1"/>
  <c r="M39" i="2"/>
  <c r="K38" i="2"/>
  <c r="N38" i="2" s="1"/>
  <c r="L38" i="2"/>
  <c r="M38" i="2"/>
  <c r="K37" i="2"/>
  <c r="L37" i="2" s="1"/>
  <c r="M37" i="2"/>
  <c r="K36" i="2"/>
  <c r="L36" i="2" s="1"/>
  <c r="M36" i="2"/>
  <c r="K35" i="2"/>
  <c r="L35" i="2" s="1"/>
  <c r="M35" i="2"/>
  <c r="K33" i="2"/>
  <c r="N33" i="2" s="1"/>
  <c r="M33" i="2"/>
  <c r="K32" i="2"/>
  <c r="N32" i="2" s="1"/>
  <c r="M32" i="2"/>
  <c r="K31" i="2"/>
  <c r="L31" i="2" s="1"/>
  <c r="M31" i="2"/>
  <c r="K30" i="2"/>
  <c r="L30" i="2" s="1"/>
  <c r="M30" i="2"/>
  <c r="N30" i="2"/>
  <c r="K29" i="2"/>
  <c r="L29" i="2" s="1"/>
  <c r="M29" i="2"/>
  <c r="K28" i="2"/>
  <c r="L28" i="2" s="1"/>
  <c r="M28" i="2"/>
  <c r="K27" i="2"/>
  <c r="N27" i="2" s="1"/>
  <c r="M27" i="2"/>
  <c r="K25" i="2"/>
  <c r="N25" i="2" s="1"/>
  <c r="M25" i="2"/>
  <c r="K26" i="2"/>
  <c r="L26" i="2" s="1"/>
  <c r="M26" i="2"/>
  <c r="K24" i="2"/>
  <c r="L24" i="2" s="1"/>
  <c r="M24" i="2"/>
  <c r="N24" i="2"/>
  <c r="L43" i="2" l="1"/>
  <c r="N31" i="2"/>
  <c r="N52" i="2"/>
  <c r="N51" i="2"/>
  <c r="N46" i="2"/>
  <c r="N44" i="2"/>
  <c r="L40" i="2"/>
  <c r="L33" i="2"/>
  <c r="L25" i="2"/>
  <c r="N37" i="2"/>
  <c r="N39" i="2"/>
  <c r="L27" i="2"/>
  <c r="N36" i="2"/>
  <c r="N26" i="2"/>
  <c r="N35" i="2"/>
  <c r="L32" i="2"/>
  <c r="N29" i="2"/>
  <c r="N28" i="2"/>
  <c r="K23" i="2"/>
  <c r="N23" i="2" s="1"/>
  <c r="M23" i="2"/>
  <c r="K22" i="2"/>
  <c r="L22" i="2" s="1"/>
  <c r="M22" i="2"/>
  <c r="K21" i="2"/>
  <c r="L21" i="2" s="1"/>
  <c r="K4" i="2"/>
  <c r="K5" i="2"/>
  <c r="K7" i="2"/>
  <c r="K8" i="2"/>
  <c r="K9" i="2"/>
  <c r="K10" i="2"/>
  <c r="K11" i="2"/>
  <c r="K12" i="2"/>
  <c r="K13" i="2"/>
  <c r="N13" i="2" s="1"/>
  <c r="K14" i="2"/>
  <c r="N14" i="2" s="1"/>
  <c r="K15" i="2"/>
  <c r="L15" i="2" s="1"/>
  <c r="K16" i="2"/>
  <c r="L16" i="2" s="1"/>
  <c r="K17" i="2"/>
  <c r="L17" i="2" s="1"/>
  <c r="K18" i="2"/>
  <c r="L18" i="2" s="1"/>
  <c r="K19" i="2"/>
  <c r="N19" i="2" s="1"/>
  <c r="K20" i="2"/>
  <c r="L20" i="2" s="1"/>
  <c r="M21" i="2"/>
  <c r="M19" i="2"/>
  <c r="M20" i="2"/>
  <c r="M18" i="2"/>
  <c r="M17" i="2"/>
  <c r="M16" i="2"/>
  <c r="M8" i="2"/>
  <c r="M9" i="2"/>
  <c r="M10" i="2"/>
  <c r="M11" i="2"/>
  <c r="M12" i="2"/>
  <c r="M13" i="2"/>
  <c r="M14" i="2"/>
  <c r="M15" i="2"/>
  <c r="L23" i="2" l="1"/>
  <c r="L19" i="2"/>
  <c r="N22" i="2"/>
  <c r="N20" i="2"/>
  <c r="N17" i="2"/>
  <c r="N15" i="2"/>
  <c r="N18" i="2"/>
  <c r="N16" i="2"/>
  <c r="L13" i="2"/>
  <c r="N21" i="2"/>
  <c r="L14" i="2"/>
  <c r="N4" i="2"/>
  <c r="N5" i="2"/>
  <c r="L7" i="2"/>
  <c r="L8" i="2"/>
  <c r="L9" i="2"/>
  <c r="L10" i="2"/>
  <c r="L11" i="2"/>
  <c r="L12" i="2"/>
  <c r="K3" i="2"/>
  <c r="N3" i="2" s="1"/>
  <c r="B3" i="1"/>
  <c r="B4" i="1"/>
  <c r="N7" i="2" l="1"/>
  <c r="N10" i="2"/>
  <c r="N9" i="2"/>
  <c r="N8" i="2"/>
  <c r="N11" i="2"/>
  <c r="N12" i="2"/>
  <c r="L5" i="2"/>
  <c r="L4" i="2"/>
  <c r="L3" i="2"/>
  <c r="B6" i="1" l="1"/>
  <c r="B7" i="1"/>
  <c r="B5" i="1"/>
  <c r="B9" i="1"/>
  <c r="B8" i="1"/>
</calcChain>
</file>

<file path=xl/sharedStrings.xml><?xml version="1.0" encoding="utf-8"?>
<sst xmlns="http://schemas.openxmlformats.org/spreadsheetml/2006/main" count="237" uniqueCount="91">
  <si>
    <t>م</t>
  </si>
  <si>
    <t>كود الموظف</t>
  </si>
  <si>
    <t>الاسم</t>
  </si>
  <si>
    <t>الدرجة</t>
  </si>
  <si>
    <t>نوع الإجازة</t>
  </si>
  <si>
    <t>رقم الأمر التنفيذي</t>
  </si>
  <si>
    <t>تاريخ الأمر التنفيذي</t>
  </si>
  <si>
    <t>تاريخ الأمر التنفيذي2</t>
  </si>
  <si>
    <t>بداية الإجازة</t>
  </si>
  <si>
    <t>نهاية الإجازة</t>
  </si>
  <si>
    <t>انتهاء 5 سنوات</t>
  </si>
  <si>
    <t>الأيام المتبقية</t>
  </si>
  <si>
    <t>حالة الإجازة</t>
  </si>
  <si>
    <t>حالة المرتب</t>
  </si>
  <si>
    <t>عاد للعمل؟</t>
  </si>
  <si>
    <t>سبب انتهاء الخدمة</t>
  </si>
  <si>
    <t>تم عمل مطالبة؟</t>
  </si>
  <si>
    <t>بدون مرتب</t>
  </si>
  <si>
    <t xml:space="preserve">                          </t>
  </si>
  <si>
    <t>اداره الاستحقاقات</t>
  </si>
  <si>
    <t>لوحة متابعة الإجازات الدراسية</t>
  </si>
  <si>
    <t>اخر تحديث</t>
  </si>
  <si>
    <t>اجمالي الموظفين</t>
  </si>
  <si>
    <t>يصرف المرتب</t>
  </si>
  <si>
    <t>يوقف المرتب</t>
  </si>
  <si>
    <t>باقي أقل من 30 يوم</t>
  </si>
  <si>
    <t>باقي من 31 إلى 90 يوم</t>
  </si>
  <si>
    <t xml:space="preserve">حسام حسن عبد المنعم السيد </t>
  </si>
  <si>
    <t>مدرس مساعد</t>
  </si>
  <si>
    <t>يصرف بمرتب</t>
  </si>
  <si>
    <t>اسامه محمد فكرى حسن</t>
  </si>
  <si>
    <t>استاذ مساعد</t>
  </si>
  <si>
    <t>جون منير عدلي جرجس</t>
  </si>
  <si>
    <t>معيد</t>
  </si>
  <si>
    <t>ابراهيم فكرى جابر محمد</t>
  </si>
  <si>
    <t xml:space="preserve">مدرس </t>
  </si>
  <si>
    <t>مهمه علميه</t>
  </si>
  <si>
    <t xml:space="preserve">عمرو عماد سعيد محمد </t>
  </si>
  <si>
    <t xml:space="preserve">اجازه دراسيه </t>
  </si>
  <si>
    <t xml:space="preserve">احمد عبد الستار سيد الجازوي </t>
  </si>
  <si>
    <t xml:space="preserve">احمد فتحي حسين فتحي ابو الحمايد </t>
  </si>
  <si>
    <t xml:space="preserve">مازن خالد انور احمد قنديل </t>
  </si>
  <si>
    <t xml:space="preserve">عبد الله صلاح محمد اب يوسف </t>
  </si>
  <si>
    <t xml:space="preserve">احمد خالد محمد صلاح الدين حسنين </t>
  </si>
  <si>
    <t xml:space="preserve">هشام محمد طه السيد محمد </t>
  </si>
  <si>
    <t xml:space="preserve">ندي نادر عثمان علد الخالق السعدني </t>
  </si>
  <si>
    <t xml:space="preserve">اسامه نجيب احمد علوان ابراهيم </t>
  </si>
  <si>
    <t xml:space="preserve">وليد السيد محمد محمد الزيتي </t>
  </si>
  <si>
    <t xml:space="preserve">كريم محمد محمد المليجي </t>
  </si>
  <si>
    <t xml:space="preserve">معيد </t>
  </si>
  <si>
    <t xml:space="preserve">محمد مصطفي عبد الحميد رمضان </t>
  </si>
  <si>
    <t xml:space="preserve">ماركو عدلي غالي سيف </t>
  </si>
  <si>
    <t xml:space="preserve">رضوى يسري احمد عبد الحليم </t>
  </si>
  <si>
    <t xml:space="preserve">معيده </t>
  </si>
  <si>
    <t xml:space="preserve">اسلام محمد منير محمد </t>
  </si>
  <si>
    <t>احمد طارق ابو الفتوح محمد المرسي دهشان</t>
  </si>
  <si>
    <t>هشام صلاح عبد الفتاح موسي</t>
  </si>
  <si>
    <t xml:space="preserve">حسين خالد حسين عبد العزيز زهران </t>
  </si>
  <si>
    <t xml:space="preserve">منى محمد كامل خضري </t>
  </si>
  <si>
    <t xml:space="preserve">محمد احمد السيد  احمد زايد </t>
  </si>
  <si>
    <t>مدرس</t>
  </si>
  <si>
    <t>احمد فتحى حسين فتحى</t>
  </si>
  <si>
    <t>محمد صلاح محمد العراقى</t>
  </si>
  <si>
    <t>بيشوى ميلاد حلمى زكى</t>
  </si>
  <si>
    <t>مصطفى محمد هشام كامل طوبار</t>
  </si>
  <si>
    <t>احمد صلاح الدين حسن جمال الدين</t>
  </si>
  <si>
    <t>هشام محمد طه السيد</t>
  </si>
  <si>
    <t>محمد عبد الحكيم محمد كيلانى</t>
  </si>
  <si>
    <t>عمر حسن عبد السميع دسوقى</t>
  </si>
  <si>
    <t>20/8//2025</t>
  </si>
  <si>
    <t xml:space="preserve">محمد حسام بدر الدين ابراهيم منصور </t>
  </si>
  <si>
    <t xml:space="preserve">محمد المتولي محمد السيد سيد احمد </t>
  </si>
  <si>
    <t xml:space="preserve">مدرس مساعد </t>
  </si>
  <si>
    <t xml:space="preserve">محمد اسامه رمضان علي سليم </t>
  </si>
  <si>
    <t xml:space="preserve">محمد شاكر احمد البهي ابراهيم </t>
  </si>
  <si>
    <t xml:space="preserve">احمد يس عبد القادر عبد الحميد </t>
  </si>
  <si>
    <t xml:space="preserve">هيا هشام السعيد سلمان حسن </t>
  </si>
  <si>
    <t>خالد صبحي امام عياد</t>
  </si>
  <si>
    <t xml:space="preserve">بولا اشرف صديق سليمان </t>
  </si>
  <si>
    <t xml:space="preserve">نورهان السيد محمد رمضان علي </t>
  </si>
  <si>
    <t xml:space="preserve">مريم عمرو عادل عطيه </t>
  </si>
  <si>
    <t xml:space="preserve">احمد محروس هاشم قاعود </t>
  </si>
  <si>
    <t xml:space="preserve">محمد اسامة صالح عطوة </t>
  </si>
  <si>
    <t xml:space="preserve">محمد فؤاد عبد العظيم ابراهيم علام </t>
  </si>
  <si>
    <t xml:space="preserve">احمد محمد حافظ شكري </t>
  </si>
  <si>
    <t xml:space="preserve">عمر اشرف سعد حسين عطيه نمر </t>
  </si>
  <si>
    <t xml:space="preserve">محمود هشام عبد الحي جاد الحق </t>
  </si>
  <si>
    <t xml:space="preserve">مازن اشرف عبد العزيز ابراهيم النجار </t>
  </si>
  <si>
    <t>6/12/205</t>
  </si>
  <si>
    <t xml:space="preserve">اسر محمد نادر عبد الحميد محمد عيسي </t>
  </si>
  <si>
    <t xml:space="preserve">عمر خالد احمد ماهر عبد العظيم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</si>
</sst>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Aparajita"/>
      <family val="1"/>
    </font>
    <font>
      <sz val="11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theme="3" tint="0.499984740745262"/>
      </left>
      <right style="thick">
        <color theme="3" tint="0.499984740745262"/>
      </right>
      <top style="thick">
        <color theme="3" tint="0.499984740745262"/>
      </top>
      <bottom style="thick">
        <color theme="3" tint="0.499984740745262"/>
      </bottom>
      <diagonal/>
    </border>
    <border>
      <left style="thick">
        <color theme="3" tint="0.499984740745262"/>
      </left>
      <right style="thick">
        <color theme="3" tint="0.499984740745262"/>
      </right>
      <top/>
      <bottom style="thick">
        <color theme="4" tint="0.79998168889431442"/>
      </bottom>
      <diagonal/>
    </border>
    <border>
      <left style="thick">
        <color theme="3" tint="0.499984740745262"/>
      </left>
      <right style="thick">
        <color theme="3" tint="0.499984740745262"/>
      </right>
      <top style="thick">
        <color theme="4" tint="0.79998168889431442"/>
      </top>
      <bottom style="thick">
        <color theme="4" tint="0.79998168889431442"/>
      </bottom>
      <diagonal/>
    </border>
    <border>
      <left style="thick">
        <color theme="3" tint="0.499984740745262"/>
      </left>
      <right style="thick">
        <color theme="3" tint="0.499984740745262"/>
      </right>
      <top style="thick">
        <color theme="4" tint="0.79998168889431442"/>
      </top>
      <bottom style="thick">
        <color theme="3" tint="0.499984740745262"/>
      </bottom>
      <diagonal/>
    </border>
    <border>
      <left style="thick">
        <color theme="3" tint="0.499984740745262"/>
      </left>
      <right/>
      <top/>
      <bottom style="thick">
        <color theme="4" tint="0.79998168889431442"/>
      </bottom>
      <diagonal/>
    </border>
    <border>
      <left/>
      <right style="thick">
        <color theme="3" tint="0.499984740745262"/>
      </right>
      <top style="thick">
        <color theme="3" tint="0.499984740745262"/>
      </top>
      <bottom style="thick">
        <color theme="3" tint="0.499984740745262"/>
      </bottom>
      <diagonal/>
    </border>
    <border>
      <left style="thick">
        <color theme="3" tint="0.499984740745262"/>
      </left>
      <right/>
      <top style="thick">
        <color theme="4" tint="0.79998168889431442"/>
      </top>
      <bottom style="thick">
        <color theme="4" tint="0.79998168889431442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14" fontId="5" fillId="11" borderId="6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 applyProtection="1">
      <alignment horizontal="center" vertical="center"/>
      <protection locked="0"/>
    </xf>
    <xf numFmtId="14" fontId="5" fillId="11" borderId="6" xfId="0" applyNumberFormat="1" applyFont="1" applyFill="1" applyBorder="1" applyAlignment="1" applyProtection="1">
      <alignment horizontal="center" vertical="center"/>
      <protection locked="0"/>
    </xf>
    <xf numFmtId="0" fontId="5" fillId="9" borderId="7" xfId="0" applyFont="1" applyFill="1" applyBorder="1" applyAlignment="1" applyProtection="1">
      <alignment horizontal="center" vertical="center" wrapText="1"/>
      <protection locked="0"/>
    </xf>
    <xf numFmtId="0" fontId="5" fillId="8" borderId="8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6" borderId="8" xfId="0" applyFont="1" applyFill="1" applyBorder="1" applyAlignment="1" applyProtection="1">
      <alignment horizontal="center" vertical="center" wrapText="1"/>
      <protection locked="0"/>
    </xf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0" fontId="5" fillId="3" borderId="8" xfId="0" applyFont="1" applyFill="1" applyBorder="1" applyAlignment="1" applyProtection="1">
      <alignment horizontal="center" vertical="center" wrapText="1"/>
      <protection locked="0"/>
    </xf>
    <xf numFmtId="0" fontId="5" fillId="5" borderId="8" xfId="0" applyFont="1" applyFill="1" applyBorder="1" applyAlignment="1" applyProtection="1">
      <alignment horizontal="center" vertical="center" wrapText="1"/>
      <protection locked="0"/>
    </xf>
    <xf numFmtId="0" fontId="5" fillId="10" borderId="8" xfId="0" applyFont="1" applyFill="1" applyBorder="1" applyAlignment="1" applyProtection="1">
      <alignment horizontal="center" vertical="center" wrapText="1"/>
      <protection locked="0"/>
    </xf>
    <xf numFmtId="0" fontId="5" fillId="7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2" fillId="12" borderId="5" xfId="0" applyFont="1" applyFill="1" applyBorder="1" applyAlignment="1" applyProtection="1">
      <alignment horizontal="center" vertical="center" wrapText="1"/>
      <protection locked="0"/>
    </xf>
    <xf numFmtId="0" fontId="2" fillId="12" borderId="13" xfId="0" applyFont="1" applyFill="1" applyBorder="1" applyAlignment="1" applyProtection="1">
      <alignment horizontal="center" vertical="center" wrapText="1"/>
      <protection locked="0"/>
    </xf>
    <xf numFmtId="0" fontId="2" fillId="12" borderId="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5" fillId="7" borderId="9" xfId="0" applyFont="1" applyFill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4" fontId="3" fillId="0" borderId="1" xfId="0" applyNumberFormat="1" applyFont="1" applyBorder="1" applyAlignment="1" applyProtection="1">
      <alignment horizontal="center" vertical="center" wrapText="1"/>
      <protection locked="0"/>
    </xf>
    <xf numFmtId="14" fontId="3" fillId="0" borderId="1" xfId="0" applyNumberFormat="1" applyFont="1" applyBorder="1" applyAlignment="1" applyProtection="1">
      <alignment horizontal="center"/>
      <protection locked="0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 applyProtection="1">
      <alignment horizontal="center"/>
      <protection locked="0"/>
    </xf>
    <xf numFmtId="0" fontId="6" fillId="13" borderId="14" xfId="0" applyFont="1" applyFill="1" applyBorder="1" applyAlignment="1">
      <alignment horizontal="center" wrapText="1"/>
    </xf>
    <xf numFmtId="0" fontId="5" fillId="11" borderId="6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ont>
        <b/>
      </font>
      <alignment horizontal="center" textRotation="0" indent="0" justifyLastLine="0" shrinkToFit="0" readingOrder="0"/>
      <border outline="0">
        <left style="thick">
          <color auto="1"/>
        </left>
        <right/>
        <top style="thick">
          <color auto="1"/>
        </top>
        <bottom style="thick">
          <color auto="1"/>
        </bottom>
      </border>
    </dxf>
    <dxf>
      <font>
        <b/>
      </font>
      <alignment horizontal="center" textRotation="0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textRotation="0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textRotation="0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numFmt numFmtId="0" formatCode="General"/>
      <alignment horizontal="center" textRotation="0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textRotation="0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textRotation="0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textRotation="0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textRotation="0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textRotation="0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textRotation="0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vertical="center" textRotation="0" wrapText="1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vertical="center" textRotation="0" wrapText="1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textRotation="0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textRotation="0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textRotation="0" indent="0" justifyLastLine="0" shrinkToFit="0" readingOrder="0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vertical="center" textRotation="0" wrapText="1" indent="0" justifyLastLine="0" shrinkToFit="0" readingOrder="0"/>
      <border outline="0">
        <left/>
        <right style="thick">
          <color auto="1"/>
        </right>
        <top style="thick">
          <color auto="1"/>
        </top>
        <bottom style="thick">
          <color auto="1"/>
        </bottom>
      </border>
    </dxf>
    <dxf>
      <border outline="0">
        <top style="thick">
          <color auto="1"/>
        </top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</font>
      <alignment horizontal="center" textRotation="0" indent="0" justifyLastLine="0" shrinkToFit="0" readingOrder="0"/>
    </dxf>
    <dxf>
      <border outline="0">
        <bottom style="thick">
          <color auto="1"/>
        </bottom>
      </border>
    </dxf>
    <dxf>
      <fill>
        <patternFill patternType="solid">
          <fgColor indexed="64"/>
          <bgColor theme="3" tint="9.9978637043366805E-2"/>
        </patternFill>
      </fill>
      <alignment horizontal="center" vertical="center" wrapText="1"/>
      <border outline="0">
        <left style="thick">
          <color auto="1"/>
        </left>
        <right style="thick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438149</xdr:colOff>
      <xdr:row>0</xdr:row>
      <xdr:rowOff>28575</xdr:rowOff>
    </xdr:from>
    <xdr:to>
      <xdr:col>0</xdr:col>
      <xdr:colOff>3086100</xdr:colOff>
      <xdr:row>0</xdr:row>
      <xdr:rowOff>933450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3390" t="7800" r="4802" b="14200"/>
        <a:stretch>
          <a:fillRect/>
        </a:stretch>
      </xdr:blipFill>
      <xdr:spPr bwMode="auto">
        <a:xfrm>
          <a:off x="9990839175" y="28575"/>
          <a:ext cx="2647951" cy="9048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2:Q61" totalsRowShown="0" headerRowDxfId="25" dataDxfId="23" headerRowBorderDxfId="24" tableBorderDxfId="22" totalsRowBorderDxfId="21">
  <autoFilter ref="A2:Q61" xr:uid="{00000000-0009-0000-0100-000001000000}"/>
  <tableColumns count="17">
    <tableColumn id="1" xr3:uid="{00000000-0010-0000-0000-000001000000}" name="م" dataDxfId="20"/>
    <tableColumn id="2" xr3:uid="{00000000-0010-0000-0000-000002000000}" name="كود الموظف" dataDxfId="19"/>
    <tableColumn id="3" xr3:uid="{00000000-0010-0000-0000-000003000000}" name="الاسم" dataDxfId="18"/>
    <tableColumn id="4" xr3:uid="{00000000-0010-0000-0000-000004000000}" name="الدرجة" dataDxfId="17"/>
    <tableColumn id="5" xr3:uid="{00000000-0010-0000-0000-000005000000}" name="نوع الإجازة" dataDxfId="16"/>
    <tableColumn id="6" xr3:uid="{00000000-0010-0000-0000-000006000000}" name="رقم الأمر التنفيذي" dataDxfId="15"/>
    <tableColumn id="7" xr3:uid="{00000000-0010-0000-0000-000007000000}" name="تاريخ الأمر التنفيذي" dataDxfId="14"/>
    <tableColumn id="8" xr3:uid="{00000000-0010-0000-0000-000008000000}" name="تاريخ الأمر التنفيذي2" dataDxfId="13"/>
    <tableColumn id="9" xr3:uid="{00000000-0010-0000-0000-000009000000}" name="بداية الإجازة" dataDxfId="12"/>
    <tableColumn id="10" xr3:uid="{00000000-0010-0000-0000-00000A000000}" name="نهاية الإجازة" dataDxfId="11"/>
    <tableColumn id="11" xr3:uid="{00000000-0010-0000-0000-00000B000000}" name="انتهاء 5 سنوات" dataDxfId="10"/>
    <tableColumn id="12" xr3:uid="{00000000-0010-0000-0000-00000C000000}" name="الأيام المتبقية" dataDxfId="9"/>
    <tableColumn id="13" xr3:uid="{00000000-0010-0000-0000-00000D000000}" name="حالة الإجازة" dataDxfId="8">
      <calculatedColumnFormula>IF(J3="",K11,IF(J3&gt;=TODAY(),"سارية","منتهية"))</calculatedColumnFormula>
    </tableColumn>
    <tableColumn id="14" xr3:uid="{00000000-0010-0000-0000-00000E000000}" name="حالة المرتب" dataDxfId="7"/>
    <tableColumn id="15" xr3:uid="{00000000-0010-0000-0000-00000F000000}" name="عاد للعمل؟" dataDxfId="6"/>
    <tableColumn id="16" xr3:uid="{00000000-0010-0000-0000-000010000000}" name="سبب انتهاء الخدمة" dataDxfId="5"/>
    <tableColumn id="17" xr3:uid="{00000000-0010-0000-0000-000011000000}" name="تم عمل مطالبة؟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rightToLeft="1" topLeftCell="A4" zoomScaleNormal="100" workbookViewId="0">
      <selection activeCell="A7" sqref="A7"/>
    </sheetView>
  </sheetViews>
  <sheetFormatPr defaultRowHeight="85.5" customHeight="1" x14ac:dyDescent="0.7"/>
  <cols>
    <col min="1" max="1" width="67.7109375" style="1" customWidth="1"/>
    <col min="2" max="2" width="58.85546875" style="1" customWidth="1"/>
  </cols>
  <sheetData>
    <row r="1" spans="1:2" ht="85.5" customHeight="1" thickTop="1" thickBot="1" x14ac:dyDescent="0.3">
      <c r="A1" s="9" t="s">
        <v>18</v>
      </c>
      <c r="B1" s="9" t="s">
        <v>19</v>
      </c>
    </row>
    <row r="2" spans="1:2" ht="62.25" customHeight="1" thickTop="1" thickBot="1" x14ac:dyDescent="0.3">
      <c r="A2" s="42" t="s">
        <v>20</v>
      </c>
      <c r="B2" s="43"/>
    </row>
    <row r="3" spans="1:2" s="1" customFormat="1" ht="55.5" customHeight="1" thickTop="1" thickBot="1" x14ac:dyDescent="0.75">
      <c r="A3" s="10" t="s">
        <v>21</v>
      </c>
      <c r="B3" s="2">
        <f ca="1">TODAY()</f>
        <v>46259</v>
      </c>
    </row>
    <row r="4" spans="1:2" ht="85.5" customHeight="1" thickTop="1" thickBot="1" x14ac:dyDescent="0.3">
      <c r="A4" s="11" t="s">
        <v>22</v>
      </c>
      <c r="B4" s="7">
        <f>COUNTA('الاجازات الدراسيه'!B3:B1035)</f>
        <v>52</v>
      </c>
    </row>
    <row r="5" spans="1:2" ht="85.5" customHeight="1" thickTop="1" thickBot="1" x14ac:dyDescent="0.3">
      <c r="A5" s="12" t="s">
        <v>23</v>
      </c>
      <c r="B5" s="4">
        <f ca="1">COUNTIF('الاجازات الدراسيه'!N3:N1035,"يصرف المرتب")</f>
        <v>49</v>
      </c>
    </row>
    <row r="6" spans="1:2" ht="85.5" customHeight="1" thickTop="1" thickBot="1" x14ac:dyDescent="0.3">
      <c r="A6" s="13" t="s">
        <v>24</v>
      </c>
      <c r="B6" s="5">
        <f ca="1">COUNTIF('الاجازات الدراسيه'!N3:N1035,"يوقف المرتب")</f>
        <v>3</v>
      </c>
    </row>
    <row r="7" spans="1:2" ht="85.5" customHeight="1" thickTop="1" thickBot="1" x14ac:dyDescent="0.3">
      <c r="A7" s="14" t="s">
        <v>17</v>
      </c>
      <c r="B7" s="6">
        <f ca="1">COUNTIF('الاجازات الدراسيه'!N3:N1035,"بدون مرتب")</f>
        <v>0</v>
      </c>
    </row>
    <row r="8" spans="1:2" ht="85.5" customHeight="1" thickTop="1" thickBot="1" x14ac:dyDescent="0.3">
      <c r="A8" s="15" t="s">
        <v>25</v>
      </c>
      <c r="B8" s="8">
        <f ca="1">COUNTIFS('الاجازات الدراسيه'!L3:L1035,"&gt;0",'الاجازات الدراسيه'!L3:L1035,"&lt;=30")</f>
        <v>1</v>
      </c>
    </row>
    <row r="9" spans="1:2" ht="85.5" customHeight="1" thickTop="1" thickBot="1" x14ac:dyDescent="0.3">
      <c r="A9" s="16" t="s">
        <v>26</v>
      </c>
      <c r="B9" s="3">
        <f ca="1">COUNTIFS('الاجازات الدراسيه'!L3:L1035,"&gt;30",'الاجازات الدراسيه'!L3:L1035,"&lt;=90")</f>
        <v>2</v>
      </c>
    </row>
    <row r="10" spans="1:2" ht="85.5" customHeight="1" thickTop="1" thickBot="1" x14ac:dyDescent="0.3">
      <c r="A10" s="17"/>
      <c r="B10" s="17"/>
    </row>
    <row r="11" spans="1:2" ht="85.5" customHeight="1" thickTop="1" thickBot="1" x14ac:dyDescent="0.3">
      <c r="A11" s="18"/>
      <c r="B11" s="18"/>
    </row>
    <row r="12" spans="1:2" ht="85.5" customHeight="1" thickTop="1" thickBot="1" x14ac:dyDescent="1.1000000000000001">
      <c r="A12" s="19"/>
      <c r="B12" s="25"/>
    </row>
    <row r="13" spans="1:2" ht="85.5" customHeight="1" thickTop="1" x14ac:dyDescent="0.7"/>
  </sheetData>
  <sheetProtection password="CC5B" sheet="1" selectLockedCells="1" selectUnlockedCells="1"/>
  <mergeCells count="1">
    <mergeCell ref="A2:B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0"/>
  <sheetViews>
    <sheetView rightToLeft="1" tabSelected="1" topLeftCell="D1" workbookViewId="0">
      <selection activeCell="D7" sqref="D7"/>
    </sheetView>
  </sheetViews>
  <sheetFormatPr defaultRowHeight="30.75" customHeight="1" x14ac:dyDescent="0.25"/>
  <cols>
    <col min="1" max="1" width="14.140625" customWidth="1"/>
    <col min="2" max="2" width="17.5703125" customWidth="1"/>
    <col min="3" max="3" width="60" customWidth="1"/>
    <col min="4" max="4" width="23.28515625" customWidth="1"/>
    <col min="5" max="5" width="23.85546875" customWidth="1"/>
    <col min="6" max="6" width="23.42578125" customWidth="1"/>
    <col min="7" max="7" width="25.28515625" customWidth="1"/>
    <col min="8" max="8" width="27.28515625" customWidth="1"/>
    <col min="9" max="9" width="24" customWidth="1"/>
    <col min="10" max="10" width="21.7109375" customWidth="1"/>
    <col min="11" max="11" width="24" customWidth="1"/>
    <col min="12" max="12" width="17.7109375" customWidth="1"/>
    <col min="13" max="13" width="20.5703125" customWidth="1"/>
    <col min="14" max="14" width="26.85546875" customWidth="1"/>
    <col min="15" max="15" width="19.5703125" customWidth="1"/>
    <col min="16" max="16" width="21.28515625" customWidth="1"/>
    <col min="17" max="17" width="24.42578125" customWidth="1"/>
  </cols>
  <sheetData>
    <row r="1" spans="1:33" ht="15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 spans="1:33" ht="72.75" customHeight="1" thickBot="1" x14ac:dyDescent="0.3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9</v>
      </c>
      <c r="K2" s="22" t="s">
        <v>10</v>
      </c>
      <c r="L2" s="22" t="s">
        <v>11</v>
      </c>
      <c r="M2" s="22" t="s">
        <v>12</v>
      </c>
      <c r="N2" s="22" t="s">
        <v>13</v>
      </c>
      <c r="O2" s="22" t="s">
        <v>14</v>
      </c>
      <c r="P2" s="22" t="s">
        <v>15</v>
      </c>
      <c r="Q2" s="23" t="s">
        <v>16</v>
      </c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ht="30.75" customHeight="1" thickTop="1" thickBot="1" x14ac:dyDescent="0.45">
      <c r="A3" s="26">
        <v>1</v>
      </c>
      <c r="B3" s="27">
        <v>37099</v>
      </c>
      <c r="C3" s="28" t="s">
        <v>27</v>
      </c>
      <c r="D3" s="29" t="s">
        <v>28</v>
      </c>
      <c r="E3" s="29" t="s">
        <v>29</v>
      </c>
      <c r="F3" s="29">
        <v>7920</v>
      </c>
      <c r="G3" s="30">
        <v>45923</v>
      </c>
      <c r="H3" s="29" t="s">
        <v>38</v>
      </c>
      <c r="I3" s="30">
        <v>45967</v>
      </c>
      <c r="J3" s="31">
        <v>46331</v>
      </c>
      <c r="K3" s="32">
        <f>EDATE(I3,60)</f>
        <v>47793</v>
      </c>
      <c r="L3" s="33">
        <f t="shared" ref="L3:L12" ca="1" si="0">IF(K3="","",MAX(0,K3-TODAY()))</f>
        <v>1534</v>
      </c>
      <c r="M3" s="33" t="str">
        <f ca="1">IF(J2="",K12,IF(J2&gt;=TODAY(),"سارية","منتهية"))</f>
        <v>سارية</v>
      </c>
      <c r="N3" s="34" t="str">
        <f ca="1">IF(E3="بدون مرتب","بدون مرتب",IF(K3&lt;=TODAY(),"يوقف المرتب","يصرف المرتب"))</f>
        <v>يصرف المرتب</v>
      </c>
      <c r="O3" s="29"/>
      <c r="P3" s="29"/>
      <c r="Q3" s="35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spans="1:33" ht="30.75" customHeight="1" thickTop="1" thickBot="1" x14ac:dyDescent="0.45">
      <c r="A4" s="26">
        <v>2</v>
      </c>
      <c r="B4" s="27">
        <v>35687</v>
      </c>
      <c r="C4" s="28" t="s">
        <v>30</v>
      </c>
      <c r="D4" s="29" t="s">
        <v>31</v>
      </c>
      <c r="E4" s="29" t="s">
        <v>29</v>
      </c>
      <c r="F4" s="29">
        <v>8828</v>
      </c>
      <c r="G4" s="30">
        <v>45574</v>
      </c>
      <c r="H4" s="29" t="s">
        <v>38</v>
      </c>
      <c r="I4" s="30">
        <v>45526</v>
      </c>
      <c r="J4" s="30">
        <v>46142</v>
      </c>
      <c r="K4" s="32">
        <f t="shared" ref="K4:K20" si="1">EDATE(I4,60)</f>
        <v>47352</v>
      </c>
      <c r="L4" s="33">
        <f t="shared" ca="1" si="0"/>
        <v>1093</v>
      </c>
      <c r="M4" s="33" t="str">
        <f ca="1">IF(J3="",#REF!,IF(J3&gt;=TODAY(),"سارية","منتهية"))</f>
        <v>سارية</v>
      </c>
      <c r="N4" s="34" t="str">
        <f ca="1">IF(E4="بدون مرتب","بدون مرتب",IF(K4&lt;=TODAY(),"يوقف المرتب","يصرف المرتب"))</f>
        <v>يصرف المرتب</v>
      </c>
      <c r="O4" s="29"/>
      <c r="P4" s="29"/>
      <c r="Q4" s="35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 spans="1:33" ht="30.75" customHeight="1" thickTop="1" thickBot="1" x14ac:dyDescent="0.45">
      <c r="A5" s="26">
        <v>3</v>
      </c>
      <c r="B5" s="27">
        <v>37069</v>
      </c>
      <c r="C5" s="28" t="s">
        <v>32</v>
      </c>
      <c r="D5" s="29" t="s">
        <v>33</v>
      </c>
      <c r="E5" s="29" t="s">
        <v>29</v>
      </c>
      <c r="F5" s="29">
        <v>4674</v>
      </c>
      <c r="G5" s="29"/>
      <c r="H5" s="29" t="s">
        <v>38</v>
      </c>
      <c r="I5" s="30">
        <v>45153</v>
      </c>
      <c r="J5" s="30">
        <v>46143</v>
      </c>
      <c r="K5" s="32">
        <f t="shared" si="1"/>
        <v>46980</v>
      </c>
      <c r="L5" s="33">
        <f t="shared" ca="1" si="0"/>
        <v>721</v>
      </c>
      <c r="M5" s="33" t="str">
        <f ca="1">IF(J4="",#REF!,IF(J4&gt;=TODAY(),"سارية","منتهية"))</f>
        <v>منتهية</v>
      </c>
      <c r="N5" s="34" t="str">
        <f t="shared" ref="N5:N20" ca="1" si="2">IF(E5="بدون مرتب","بدون مرتب",IF(K5&lt;=TODAY(),"يوقف المرتب","يصرف المرتب"))</f>
        <v>يصرف المرتب</v>
      </c>
      <c r="O5" s="29"/>
      <c r="P5" s="29"/>
      <c r="Q5" s="35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 spans="1:33" ht="30.75" customHeight="1" thickTop="1" thickBot="1" x14ac:dyDescent="0.45">
      <c r="A6" s="26">
        <v>4</v>
      </c>
      <c r="B6" s="29">
        <v>35727</v>
      </c>
      <c r="C6" s="28" t="s">
        <v>34</v>
      </c>
      <c r="D6" s="29" t="s">
        <v>35</v>
      </c>
      <c r="E6" s="29" t="s">
        <v>29</v>
      </c>
      <c r="F6" s="29">
        <v>10182</v>
      </c>
      <c r="G6" s="30">
        <v>45942</v>
      </c>
      <c r="H6" s="29" t="s">
        <v>36</v>
      </c>
      <c r="I6" s="30">
        <v>45927</v>
      </c>
      <c r="J6" s="30">
        <v>46291</v>
      </c>
      <c r="K6" s="32">
        <f t="shared" ref="K6" si="3">EDATE(I6,60)</f>
        <v>47753</v>
      </c>
      <c r="L6" s="33">
        <f t="shared" ref="L6" ca="1" si="4">IF(K6="","",MAX(0,K6-TODAY()))</f>
        <v>1494</v>
      </c>
      <c r="M6" s="33" t="str">
        <f t="shared" ref="M6:M15" ca="1" si="5">IF(J5="",K13,IF(J5&gt;=TODAY(),"سارية","منتهية"))</f>
        <v>منتهية</v>
      </c>
      <c r="N6" s="34" t="str">
        <f ca="1">IF(E6="بدون مرتب","بدون مرتب",IF(K6&lt;=TODAY(),"يوقف المرتب","يصرف المرتب"))</f>
        <v>يصرف المرتب</v>
      </c>
      <c r="O6" s="29"/>
      <c r="P6" s="29"/>
      <c r="Q6" s="35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spans="1:33" ht="30.75" customHeight="1" thickTop="1" thickBot="1" x14ac:dyDescent="0.45">
      <c r="A7" s="26">
        <v>5</v>
      </c>
      <c r="B7" s="29">
        <v>37191</v>
      </c>
      <c r="C7" s="28" t="s">
        <v>37</v>
      </c>
      <c r="D7" s="29" t="s">
        <v>28</v>
      </c>
      <c r="E7" s="29" t="s">
        <v>29</v>
      </c>
      <c r="F7" s="29">
        <v>10258</v>
      </c>
      <c r="G7" s="30">
        <v>45670</v>
      </c>
      <c r="H7" s="29" t="s">
        <v>38</v>
      </c>
      <c r="I7" s="30">
        <v>45874</v>
      </c>
      <c r="J7" s="30">
        <v>46238</v>
      </c>
      <c r="K7" s="32">
        <f t="shared" si="1"/>
        <v>47700</v>
      </c>
      <c r="L7" s="33">
        <f t="shared" ca="1" si="0"/>
        <v>1441</v>
      </c>
      <c r="M7" s="33" t="str">
        <f t="shared" ca="1" si="5"/>
        <v>سارية</v>
      </c>
      <c r="N7" s="34" t="str">
        <f t="shared" ca="1" si="2"/>
        <v>يصرف المرتب</v>
      </c>
      <c r="O7" s="29"/>
      <c r="P7" s="29"/>
      <c r="Q7" s="35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spans="1:33" ht="30.75" customHeight="1" thickTop="1" thickBot="1" x14ac:dyDescent="0.45">
      <c r="A8" s="26">
        <v>6</v>
      </c>
      <c r="B8" s="34">
        <v>37346</v>
      </c>
      <c r="C8" s="28" t="s">
        <v>39</v>
      </c>
      <c r="D8" s="29" t="s">
        <v>28</v>
      </c>
      <c r="E8" s="29" t="s">
        <v>29</v>
      </c>
      <c r="F8" s="29">
        <v>10194</v>
      </c>
      <c r="G8" s="30">
        <v>45942</v>
      </c>
      <c r="H8" s="29" t="s">
        <v>38</v>
      </c>
      <c r="I8" s="30">
        <v>45758</v>
      </c>
      <c r="J8" s="30">
        <v>46122</v>
      </c>
      <c r="K8" s="32">
        <f t="shared" si="1"/>
        <v>47584</v>
      </c>
      <c r="L8" s="33">
        <f t="shared" ca="1" si="0"/>
        <v>1325</v>
      </c>
      <c r="M8" s="33" t="str">
        <f t="shared" ca="1" si="5"/>
        <v>منتهية</v>
      </c>
      <c r="N8" s="34" t="str">
        <f t="shared" ca="1" si="2"/>
        <v>يصرف المرتب</v>
      </c>
      <c r="O8" s="29"/>
      <c r="P8" s="29"/>
      <c r="Q8" s="35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spans="1:33" ht="30.75" customHeight="1" thickTop="1" thickBot="1" x14ac:dyDescent="0.45">
      <c r="A9" s="26">
        <v>7</v>
      </c>
      <c r="B9" s="29">
        <v>37028</v>
      </c>
      <c r="C9" s="28" t="s">
        <v>40</v>
      </c>
      <c r="D9" s="29" t="s">
        <v>28</v>
      </c>
      <c r="E9" s="29" t="s">
        <v>29</v>
      </c>
      <c r="F9" s="29">
        <v>1365</v>
      </c>
      <c r="G9" s="30">
        <v>46065</v>
      </c>
      <c r="H9" s="29" t="s">
        <v>38</v>
      </c>
      <c r="I9" s="30">
        <v>44790</v>
      </c>
      <c r="J9" s="30">
        <v>46250</v>
      </c>
      <c r="K9" s="32">
        <f t="shared" si="1"/>
        <v>46616</v>
      </c>
      <c r="L9" s="33">
        <f t="shared" ca="1" si="0"/>
        <v>357</v>
      </c>
      <c r="M9" s="33" t="str">
        <f ca="1">IF(J8="",K16,IF(J8&gt;=TODAY(),"سارية","منتهية"))</f>
        <v>منتهية</v>
      </c>
      <c r="N9" s="34" t="str">
        <f t="shared" ca="1" si="2"/>
        <v>يصرف المرتب</v>
      </c>
      <c r="O9" s="29"/>
      <c r="P9" s="29"/>
      <c r="Q9" s="35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spans="1:33" ht="30.75" customHeight="1" thickTop="1" thickBot="1" x14ac:dyDescent="0.45">
      <c r="A10" s="26">
        <v>8</v>
      </c>
      <c r="B10" s="29">
        <v>37228</v>
      </c>
      <c r="C10" s="28" t="s">
        <v>41</v>
      </c>
      <c r="D10" s="29" t="s">
        <v>28</v>
      </c>
      <c r="E10" s="29" t="s">
        <v>29</v>
      </c>
      <c r="F10" s="29">
        <v>1379</v>
      </c>
      <c r="G10" s="30">
        <v>46068</v>
      </c>
      <c r="H10" s="29" t="s">
        <v>38</v>
      </c>
      <c r="I10" s="30">
        <v>45304</v>
      </c>
      <c r="J10" s="30">
        <v>46399</v>
      </c>
      <c r="K10" s="32">
        <f t="shared" si="1"/>
        <v>47131</v>
      </c>
      <c r="L10" s="33">
        <f t="shared" ca="1" si="0"/>
        <v>872</v>
      </c>
      <c r="M10" s="33" t="str">
        <f ca="1">IF(J9="",K17,IF(J9&gt;=TODAY(),"سارية","منتهية"))</f>
        <v>منتهية</v>
      </c>
      <c r="N10" s="34" t="str">
        <f t="shared" ca="1" si="2"/>
        <v>يصرف المرتب</v>
      </c>
      <c r="O10" s="29"/>
      <c r="P10" s="29"/>
      <c r="Q10" s="35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spans="1:33" ht="30.75" customHeight="1" thickTop="1" thickBot="1" x14ac:dyDescent="0.45">
      <c r="A11" s="26">
        <v>9</v>
      </c>
      <c r="B11" s="29">
        <v>37085</v>
      </c>
      <c r="C11" s="28" t="s">
        <v>42</v>
      </c>
      <c r="D11" s="28" t="s">
        <v>28</v>
      </c>
      <c r="E11" s="29" t="s">
        <v>29</v>
      </c>
      <c r="F11" s="28">
        <v>11766</v>
      </c>
      <c r="G11" s="31">
        <v>45985</v>
      </c>
      <c r="H11" s="29" t="s">
        <v>38</v>
      </c>
      <c r="I11" s="30">
        <v>44805</v>
      </c>
      <c r="J11" s="31">
        <v>46263</v>
      </c>
      <c r="K11" s="32">
        <f t="shared" si="1"/>
        <v>46631</v>
      </c>
      <c r="L11" s="33">
        <f t="shared" ca="1" si="0"/>
        <v>372</v>
      </c>
      <c r="M11" s="33" t="str">
        <f ca="1">IF(J10="",K20,IF(J10&gt;=TODAY(),"سارية","منتهية"))</f>
        <v>سارية</v>
      </c>
      <c r="N11" s="34" t="str">
        <f t="shared" ca="1" si="2"/>
        <v>يصرف المرتب</v>
      </c>
      <c r="O11" s="29"/>
      <c r="P11" s="29"/>
      <c r="Q11" s="35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spans="1:33" ht="30.75" customHeight="1" thickTop="1" thickBot="1" x14ac:dyDescent="0.45">
      <c r="A12" s="26">
        <v>10</v>
      </c>
      <c r="B12" s="29">
        <v>35945</v>
      </c>
      <c r="C12" s="28" t="s">
        <v>43</v>
      </c>
      <c r="D12" s="29" t="s">
        <v>28</v>
      </c>
      <c r="E12" s="29" t="s">
        <v>29</v>
      </c>
      <c r="F12" s="29">
        <v>11261</v>
      </c>
      <c r="G12" s="30">
        <v>45973</v>
      </c>
      <c r="H12" s="29" t="s">
        <v>38</v>
      </c>
      <c r="I12" s="30">
        <v>45160</v>
      </c>
      <c r="J12" s="30">
        <v>46255</v>
      </c>
      <c r="K12" s="32">
        <f t="shared" si="1"/>
        <v>46987</v>
      </c>
      <c r="L12" s="33">
        <f t="shared" ca="1" si="0"/>
        <v>728</v>
      </c>
      <c r="M12" s="33" t="str">
        <f ca="1">IF(J11="",#REF!,IF(J11&gt;=TODAY(),"سارية","منتهية"))</f>
        <v>سارية</v>
      </c>
      <c r="N12" s="34" t="str">
        <f t="shared" ref="N12" ca="1" si="6">IF(E12="بدون مرتب","بدون مرتب",IF(K12&lt;=TODAY(),"يوقف المرتب","يصرف المرتب"))</f>
        <v>يصرف المرتب</v>
      </c>
      <c r="O12" s="29"/>
      <c r="P12" s="29"/>
      <c r="Q12" s="35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spans="1:33" ht="30.75" customHeight="1" thickTop="1" thickBot="1" x14ac:dyDescent="0.45">
      <c r="A13" s="26">
        <v>11</v>
      </c>
      <c r="B13" s="29">
        <v>37346</v>
      </c>
      <c r="C13" s="28" t="s">
        <v>44</v>
      </c>
      <c r="D13" s="28" t="s">
        <v>28</v>
      </c>
      <c r="E13" s="29" t="s">
        <v>29</v>
      </c>
      <c r="F13" s="28">
        <v>634</v>
      </c>
      <c r="G13" s="31">
        <v>45951</v>
      </c>
      <c r="H13" s="29" t="s">
        <v>38</v>
      </c>
      <c r="I13" s="30">
        <v>45026</v>
      </c>
      <c r="J13" s="31">
        <v>46017</v>
      </c>
      <c r="K13" s="32">
        <f t="shared" si="1"/>
        <v>46853</v>
      </c>
      <c r="L13" s="33">
        <f t="shared" ref="L13" ca="1" si="7">IF(K13="","",MAX(0,K13-TODAY()))</f>
        <v>594</v>
      </c>
      <c r="M13" s="33" t="str">
        <f ca="1">IF(J12="",#REF!,IF(J12&gt;=TODAY(),"سارية","منتهية"))</f>
        <v>منتهية</v>
      </c>
      <c r="N13" s="34" t="str">
        <f t="shared" ca="1" si="2"/>
        <v>يصرف المرتب</v>
      </c>
      <c r="O13" s="28"/>
      <c r="P13" s="28"/>
      <c r="Q13" s="36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</row>
    <row r="14" spans="1:33" ht="30.75" customHeight="1" thickTop="1" thickBot="1" x14ac:dyDescent="0.45">
      <c r="A14" s="26">
        <v>12</v>
      </c>
      <c r="B14" s="33">
        <v>37179</v>
      </c>
      <c r="C14" s="28" t="s">
        <v>45</v>
      </c>
      <c r="D14" s="29" t="s">
        <v>33</v>
      </c>
      <c r="E14" s="29" t="s">
        <v>29</v>
      </c>
      <c r="F14" s="29">
        <v>2810</v>
      </c>
      <c r="G14" s="30">
        <v>45755</v>
      </c>
      <c r="H14" s="29" t="s">
        <v>38</v>
      </c>
      <c r="I14" s="30">
        <v>45804</v>
      </c>
      <c r="J14" s="30">
        <v>46199</v>
      </c>
      <c r="K14" s="32">
        <f t="shared" si="1"/>
        <v>47630</v>
      </c>
      <c r="L14" s="33">
        <f t="shared" ref="L14:L20" ca="1" si="8">IF(K14="","",MAX(0,K14-TODAY()))</f>
        <v>1371</v>
      </c>
      <c r="M14" s="33" t="str">
        <f t="shared" ca="1" si="5"/>
        <v>منتهية</v>
      </c>
      <c r="N14" s="34" t="str">
        <f t="shared" ca="1" si="2"/>
        <v>يصرف المرتب</v>
      </c>
      <c r="O14" s="28"/>
      <c r="P14" s="28"/>
      <c r="Q14" s="36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</row>
    <row r="15" spans="1:33" ht="30.75" customHeight="1" thickTop="1" thickBot="1" x14ac:dyDescent="0.45">
      <c r="A15" s="26">
        <v>13</v>
      </c>
      <c r="B15" s="28">
        <v>37140</v>
      </c>
      <c r="C15" s="28" t="s">
        <v>46</v>
      </c>
      <c r="D15" s="28" t="s">
        <v>28</v>
      </c>
      <c r="E15" s="29" t="s">
        <v>29</v>
      </c>
      <c r="F15" s="28">
        <v>9571</v>
      </c>
      <c r="G15" s="31">
        <v>45925</v>
      </c>
      <c r="H15" s="29" t="s">
        <v>38</v>
      </c>
      <c r="I15" s="30">
        <v>45521</v>
      </c>
      <c r="J15" s="31">
        <v>46250</v>
      </c>
      <c r="K15" s="32">
        <f t="shared" si="1"/>
        <v>47347</v>
      </c>
      <c r="L15" s="33">
        <f t="shared" ca="1" si="8"/>
        <v>1088</v>
      </c>
      <c r="M15" s="33" t="str">
        <f t="shared" ca="1" si="5"/>
        <v>منتهية</v>
      </c>
      <c r="N15" s="34" t="str">
        <f t="shared" ca="1" si="2"/>
        <v>يصرف المرتب</v>
      </c>
      <c r="O15" s="28"/>
      <c r="P15" s="28"/>
      <c r="Q15" s="36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 spans="1:33" ht="30.75" customHeight="1" thickTop="1" thickBot="1" x14ac:dyDescent="0.45">
      <c r="A16" s="26">
        <v>14</v>
      </c>
      <c r="B16" s="28">
        <v>37053</v>
      </c>
      <c r="C16" s="28" t="s">
        <v>47</v>
      </c>
      <c r="D16" s="29" t="s">
        <v>28</v>
      </c>
      <c r="E16" s="29" t="s">
        <v>29</v>
      </c>
      <c r="F16" s="29">
        <v>9186</v>
      </c>
      <c r="G16" s="30">
        <v>45914</v>
      </c>
      <c r="H16" s="29" t="s">
        <v>38</v>
      </c>
      <c r="I16" s="30">
        <v>45513</v>
      </c>
      <c r="J16" s="30">
        <v>46242</v>
      </c>
      <c r="K16" s="32">
        <f t="shared" si="1"/>
        <v>47339</v>
      </c>
      <c r="L16" s="33">
        <f t="shared" ca="1" si="8"/>
        <v>1080</v>
      </c>
      <c r="M16" s="33" t="str">
        <f ca="1">IF(J15="",K62,IF(J15&gt;=TODAY(),"سارية","منتهية"))</f>
        <v>منتهية</v>
      </c>
      <c r="N16" s="34" t="str">
        <f t="shared" ca="1" si="2"/>
        <v>يصرف المرتب</v>
      </c>
      <c r="O16" s="28"/>
      <c r="P16" s="28"/>
      <c r="Q16" s="36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</row>
    <row r="17" spans="1:33" ht="30.75" customHeight="1" thickTop="1" thickBot="1" x14ac:dyDescent="0.45">
      <c r="A17" s="26">
        <v>15</v>
      </c>
      <c r="B17" s="28">
        <v>37172</v>
      </c>
      <c r="C17" s="28" t="s">
        <v>48</v>
      </c>
      <c r="D17" s="28" t="s">
        <v>49</v>
      </c>
      <c r="E17" s="29" t="s">
        <v>29</v>
      </c>
      <c r="F17" s="28">
        <v>9187</v>
      </c>
      <c r="G17" s="31">
        <v>45914</v>
      </c>
      <c r="H17" s="29" t="s">
        <v>38</v>
      </c>
      <c r="I17" s="30">
        <v>45161</v>
      </c>
      <c r="J17" s="31">
        <v>46256</v>
      </c>
      <c r="K17" s="32">
        <f t="shared" si="1"/>
        <v>46988</v>
      </c>
      <c r="L17" s="33">
        <f t="shared" ca="1" si="8"/>
        <v>729</v>
      </c>
      <c r="M17" s="33" t="str">
        <f ca="1">IF(J16="",K63,IF(J16&gt;=TODAY(),"سارية","منتهية"))</f>
        <v>منتهية</v>
      </c>
      <c r="N17" s="34" t="str">
        <f t="shared" ca="1" si="2"/>
        <v>يصرف المرتب</v>
      </c>
      <c r="O17" s="28"/>
      <c r="P17" s="28"/>
      <c r="Q17" s="36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</row>
    <row r="18" spans="1:33" ht="30.75" customHeight="1" thickTop="1" thickBot="1" x14ac:dyDescent="0.45">
      <c r="A18" s="26">
        <v>16</v>
      </c>
      <c r="B18" s="28">
        <v>37003</v>
      </c>
      <c r="C18" s="28" t="s">
        <v>50</v>
      </c>
      <c r="D18" s="29" t="s">
        <v>28</v>
      </c>
      <c r="E18" s="29" t="s">
        <v>29</v>
      </c>
      <c r="F18" s="29">
        <v>8871</v>
      </c>
      <c r="G18" s="30">
        <v>45908</v>
      </c>
      <c r="H18" s="29" t="s">
        <v>38</v>
      </c>
      <c r="I18" s="30">
        <v>44929</v>
      </c>
      <c r="J18" s="30">
        <v>46024</v>
      </c>
      <c r="K18" s="32">
        <f t="shared" si="1"/>
        <v>46755</v>
      </c>
      <c r="L18" s="33">
        <f t="shared" ca="1" si="8"/>
        <v>496</v>
      </c>
      <c r="M18" s="33" t="str">
        <f ca="1">IF(J17="",#REF!,IF(J17&gt;=TODAY(),"سارية","منتهية"))</f>
        <v>منتهية</v>
      </c>
      <c r="N18" s="34" t="str">
        <f t="shared" ca="1" si="2"/>
        <v>يصرف المرتب</v>
      </c>
      <c r="O18" s="28"/>
      <c r="P18" s="28"/>
      <c r="Q18" s="36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 spans="1:33" ht="30.75" customHeight="1" thickTop="1" thickBot="1" x14ac:dyDescent="0.45">
      <c r="A19" s="26">
        <v>17</v>
      </c>
      <c r="B19" s="28">
        <v>37125</v>
      </c>
      <c r="C19" s="28" t="s">
        <v>51</v>
      </c>
      <c r="D19" s="28" t="s">
        <v>33</v>
      </c>
      <c r="E19" s="29" t="s">
        <v>29</v>
      </c>
      <c r="F19" s="28">
        <v>8868</v>
      </c>
      <c r="G19" s="31">
        <v>45908</v>
      </c>
      <c r="H19" s="29" t="s">
        <v>38</v>
      </c>
      <c r="I19" s="30">
        <v>44740</v>
      </c>
      <c r="J19" s="31">
        <v>46200</v>
      </c>
      <c r="K19" s="32">
        <f t="shared" si="1"/>
        <v>46566</v>
      </c>
      <c r="L19" s="33">
        <f t="shared" ca="1" si="8"/>
        <v>307</v>
      </c>
      <c r="M19" s="33" t="str">
        <f ca="1">IF(J18="",K64,IF(J18&gt;=TODAY(),"سارية","منتهية"))</f>
        <v>منتهية</v>
      </c>
      <c r="N19" s="34" t="str">
        <f ca="1">IF(E19="بدون مرتب","بدون مرتب",IF(K19&lt;=TODAY(),"يوقف المرتب","يصرف المرتب"))</f>
        <v>يصرف المرتب</v>
      </c>
      <c r="O19" s="28"/>
      <c r="P19" s="28"/>
      <c r="Q19" s="36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</row>
    <row r="20" spans="1:33" ht="30.75" customHeight="1" thickTop="1" thickBot="1" x14ac:dyDescent="0.45">
      <c r="A20" s="26">
        <v>18</v>
      </c>
      <c r="B20" s="28">
        <v>8869</v>
      </c>
      <c r="C20" s="28" t="s">
        <v>52</v>
      </c>
      <c r="D20" s="29" t="s">
        <v>53</v>
      </c>
      <c r="E20" s="29" t="s">
        <v>29</v>
      </c>
      <c r="F20" s="29">
        <v>8869</v>
      </c>
      <c r="G20" s="30">
        <v>45908</v>
      </c>
      <c r="H20" s="29" t="s">
        <v>38</v>
      </c>
      <c r="I20" s="30">
        <v>45422</v>
      </c>
      <c r="J20" s="30">
        <v>46151</v>
      </c>
      <c r="K20" s="32">
        <f t="shared" si="1"/>
        <v>47248</v>
      </c>
      <c r="L20" s="33">
        <f t="shared" ca="1" si="8"/>
        <v>989</v>
      </c>
      <c r="M20" s="33" t="str">
        <f ca="1">IF(J19="",K65,IF(J19&gt;=TODAY(),"سارية","منتهية"))</f>
        <v>منتهية</v>
      </c>
      <c r="N20" s="34" t="str">
        <f t="shared" ca="1" si="2"/>
        <v>يصرف المرتب</v>
      </c>
      <c r="O20" s="28"/>
      <c r="P20" s="28"/>
      <c r="Q20" s="36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spans="1:33" ht="30.75" customHeight="1" thickTop="1" thickBot="1" x14ac:dyDescent="0.45">
      <c r="A21" s="26">
        <v>19</v>
      </c>
      <c r="B21" s="28">
        <v>8715</v>
      </c>
      <c r="C21" s="28" t="s">
        <v>54</v>
      </c>
      <c r="D21" s="28" t="s">
        <v>28</v>
      </c>
      <c r="E21" s="29" t="s">
        <v>29</v>
      </c>
      <c r="F21" s="28">
        <v>8715</v>
      </c>
      <c r="G21" s="31">
        <v>45902</v>
      </c>
      <c r="H21" s="29" t="s">
        <v>38</v>
      </c>
      <c r="I21" s="30">
        <v>44203</v>
      </c>
      <c r="J21" s="31">
        <v>46028</v>
      </c>
      <c r="K21" s="32">
        <f>EDATE(I21,60)</f>
        <v>46029</v>
      </c>
      <c r="L21" s="33">
        <f ca="1">IF(K21="","",MAX(0,K21-TODAY()))</f>
        <v>0</v>
      </c>
      <c r="M21" s="33" t="str">
        <f ca="1">IF(J20="",K66,IF(J20&gt;=TODAY(),"سارية","منتهية"))</f>
        <v>منتهية</v>
      </c>
      <c r="N21" s="34" t="str">
        <f t="shared" ref="N21" ca="1" si="9">IF(E21="بدون مرتب","بدون مرتب",IF(K21&lt;=TODAY(),"يوقف المرتب","يصرف المرتب"))</f>
        <v>يوقف المرتب</v>
      </c>
      <c r="O21" s="28"/>
      <c r="P21" s="28"/>
      <c r="Q21" s="36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</row>
    <row r="22" spans="1:33" ht="30.75" customHeight="1" thickTop="1" thickBot="1" x14ac:dyDescent="0.45">
      <c r="A22" s="26">
        <v>20</v>
      </c>
      <c r="B22" s="28">
        <v>8726</v>
      </c>
      <c r="C22" s="28" t="s">
        <v>55</v>
      </c>
      <c r="D22" s="29" t="s">
        <v>49</v>
      </c>
      <c r="E22" s="29" t="s">
        <v>29</v>
      </c>
      <c r="F22" s="29">
        <v>8716</v>
      </c>
      <c r="G22" s="30">
        <v>45902</v>
      </c>
      <c r="H22" s="29" t="s">
        <v>38</v>
      </c>
      <c r="I22" s="30">
        <v>45206</v>
      </c>
      <c r="J22" s="30">
        <v>45936</v>
      </c>
      <c r="K22" s="32">
        <f>EDATE(I22,60)</f>
        <v>47033</v>
      </c>
      <c r="L22" s="33">
        <f t="shared" ref="L22" ca="1" si="10">IF(K22="","",MAX(0,K22-TODAY()))</f>
        <v>774</v>
      </c>
      <c r="M22" s="33" t="str">
        <f ca="1">IF(J21="",K67,IF(J21&gt;=TODAY(),"سارية","منتهية"))</f>
        <v>منتهية</v>
      </c>
      <c r="N22" s="34" t="str">
        <f t="shared" ref="N22" ca="1" si="11">IF(E22="بدون مرتب","بدون مرتب",IF(K22&lt;=TODAY(),"يوقف المرتب","يصرف المرتب"))</f>
        <v>يصرف المرتب</v>
      </c>
      <c r="O22" s="37"/>
      <c r="P22" s="37"/>
      <c r="Q22" s="4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</row>
    <row r="23" spans="1:33" ht="30.75" customHeight="1" thickTop="1" thickBot="1" x14ac:dyDescent="0.45">
      <c r="A23" s="26">
        <v>21</v>
      </c>
      <c r="B23" s="28">
        <v>37118</v>
      </c>
      <c r="C23" s="28" t="s">
        <v>56</v>
      </c>
      <c r="D23" s="28" t="s">
        <v>28</v>
      </c>
      <c r="E23" s="29" t="s">
        <v>29</v>
      </c>
      <c r="F23" s="28">
        <v>13114</v>
      </c>
      <c r="G23" s="31">
        <v>46022</v>
      </c>
      <c r="H23" s="29" t="s">
        <v>38</v>
      </c>
      <c r="I23" s="30">
        <v>45717</v>
      </c>
      <c r="J23" s="31">
        <v>45902</v>
      </c>
      <c r="K23" s="32">
        <f>EDATE(I23,60)</f>
        <v>47543</v>
      </c>
      <c r="L23" s="33">
        <f t="shared" ref="L23" ca="1" si="12">IF(K23="","",MAX(0,K23-TODAY()))</f>
        <v>1284</v>
      </c>
      <c r="M23" s="33" t="str">
        <f ca="1">IF(J22="",K68,IF(J22&gt;=TODAY(),"سارية","منتهية"))</f>
        <v>منتهية</v>
      </c>
      <c r="N23" s="34" t="str">
        <f t="shared" ref="N23" ca="1" si="13">IF(E23="بدون مرتب","بدون مرتب",IF(K23&lt;=TODAY(),"يوقف المرتب","يصرف المرتب"))</f>
        <v>يصرف المرتب</v>
      </c>
      <c r="O23" s="37"/>
      <c r="P23" s="37"/>
      <c r="Q23" s="40"/>
    </row>
    <row r="24" spans="1:33" ht="30.75" customHeight="1" thickTop="1" thickBot="1" x14ac:dyDescent="0.45">
      <c r="A24" s="26">
        <v>22</v>
      </c>
      <c r="B24" s="28">
        <v>35954</v>
      </c>
      <c r="C24" s="28" t="s">
        <v>57</v>
      </c>
      <c r="D24" s="29" t="s">
        <v>28</v>
      </c>
      <c r="E24" s="29" t="s">
        <v>29</v>
      </c>
      <c r="F24" s="29">
        <v>957</v>
      </c>
      <c r="G24" s="30">
        <v>46040</v>
      </c>
      <c r="H24" s="29" t="s">
        <v>38</v>
      </c>
      <c r="I24" s="30">
        <v>44469</v>
      </c>
      <c r="J24" s="30">
        <v>45962</v>
      </c>
      <c r="K24" s="32">
        <f>EDATE(I24,60)</f>
        <v>46295</v>
      </c>
      <c r="L24" s="33">
        <f t="shared" ref="L24" ca="1" si="14">IF(K24="","",MAX(0,K24-TODAY()))</f>
        <v>36</v>
      </c>
      <c r="M24" s="33" t="str">
        <f ca="1">IF(J23="",K69,IF(J23&gt;=TODAY(),"سارية","منتهية"))</f>
        <v>منتهية</v>
      </c>
      <c r="N24" s="34" t="str">
        <f t="shared" ref="N24" ca="1" si="15">IF(E24="بدون مرتب","بدون مرتب",IF(K24&lt;=TODAY(),"يوقف المرتب","يصرف المرتب"))</f>
        <v>يصرف المرتب</v>
      </c>
      <c r="O24" s="37"/>
      <c r="P24" s="37"/>
      <c r="Q24" s="40"/>
    </row>
    <row r="25" spans="1:33" ht="30.75" customHeight="1" thickTop="1" thickBot="1" x14ac:dyDescent="0.45">
      <c r="A25" s="28">
        <v>23</v>
      </c>
      <c r="B25" s="28">
        <v>37252</v>
      </c>
      <c r="C25" s="28" t="s">
        <v>58</v>
      </c>
      <c r="D25" s="28" t="s">
        <v>28</v>
      </c>
      <c r="E25" s="29" t="s">
        <v>29</v>
      </c>
      <c r="F25" s="28">
        <v>45922</v>
      </c>
      <c r="G25" s="31"/>
      <c r="H25" s="29" t="s">
        <v>38</v>
      </c>
      <c r="I25" s="30">
        <v>45880</v>
      </c>
      <c r="J25" s="31">
        <v>46244</v>
      </c>
      <c r="K25" s="32">
        <f t="shared" ref="K25:K26" si="16">EDATE(I25,60)</f>
        <v>47706</v>
      </c>
      <c r="L25" s="33">
        <f t="shared" ref="L25:L26" ca="1" si="17">IF(K25="","",MAX(0,K25-TODAY()))</f>
        <v>1447</v>
      </c>
      <c r="M25" s="33" t="str">
        <f ca="1">IF(J24="",K70,IF(J24&gt;=TODAY(),"سارية","منتهية"))</f>
        <v>منتهية</v>
      </c>
      <c r="N25" s="34" t="str">
        <f t="shared" ref="N25:N26" ca="1" si="18">IF(E25="بدون مرتب","بدون مرتب",IF(K25&lt;=TODAY(),"يوقف المرتب","يصرف المرتب"))</f>
        <v>يصرف المرتب</v>
      </c>
      <c r="O25" s="37"/>
      <c r="P25" s="37"/>
      <c r="Q25" s="40"/>
    </row>
    <row r="26" spans="1:33" ht="30.75" customHeight="1" thickTop="1" thickBot="1" x14ac:dyDescent="0.45">
      <c r="A26" s="26">
        <v>24</v>
      </c>
      <c r="B26" s="37">
        <v>35673</v>
      </c>
      <c r="C26" s="37" t="s">
        <v>59</v>
      </c>
      <c r="D26" s="29" t="s">
        <v>60</v>
      </c>
      <c r="E26" s="29" t="s">
        <v>29</v>
      </c>
      <c r="F26" s="29">
        <v>1063</v>
      </c>
      <c r="G26" s="30">
        <v>46055</v>
      </c>
      <c r="H26" s="29" t="s">
        <v>38</v>
      </c>
      <c r="I26" s="30">
        <v>45310</v>
      </c>
      <c r="J26" s="30">
        <v>46042</v>
      </c>
      <c r="K26" s="32">
        <f t="shared" si="16"/>
        <v>47137</v>
      </c>
      <c r="L26" s="33">
        <f t="shared" ca="1" si="17"/>
        <v>878</v>
      </c>
      <c r="M26" s="33" t="str">
        <f ca="1">IF(J25="",K71,IF(J25&gt;=TODAY(),"سارية","منتهية"))</f>
        <v>منتهية</v>
      </c>
      <c r="N26" s="34" t="str">
        <f t="shared" ca="1" si="18"/>
        <v>يصرف المرتب</v>
      </c>
      <c r="O26" s="37"/>
      <c r="P26" s="37"/>
      <c r="Q26" s="4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</row>
    <row r="27" spans="1:33" ht="30.75" customHeight="1" thickTop="1" thickBot="1" x14ac:dyDescent="0.45">
      <c r="A27" s="26">
        <v>25</v>
      </c>
      <c r="B27" s="37">
        <v>37028</v>
      </c>
      <c r="C27" s="37" t="s">
        <v>61</v>
      </c>
      <c r="D27" s="28" t="s">
        <v>28</v>
      </c>
      <c r="E27" s="29" t="s">
        <v>29</v>
      </c>
      <c r="F27" s="28">
        <v>10146</v>
      </c>
      <c r="G27" s="31">
        <v>45938</v>
      </c>
      <c r="H27" s="29" t="s">
        <v>38</v>
      </c>
      <c r="I27" s="30">
        <v>44790</v>
      </c>
      <c r="J27" s="31">
        <v>45154</v>
      </c>
      <c r="K27" s="32">
        <f t="shared" ref="K27" si="19">EDATE(I27,60)</f>
        <v>46616</v>
      </c>
      <c r="L27" s="33">
        <f t="shared" ref="L27" ca="1" si="20">IF(K27="","",MAX(0,K27-TODAY()))</f>
        <v>357</v>
      </c>
      <c r="M27" s="33" t="str">
        <f ca="1">IF(J26="",K72,IF(J26&gt;=TODAY(),"سارية","منتهية"))</f>
        <v>منتهية</v>
      </c>
      <c r="N27" s="34" t="str">
        <f t="shared" ref="N27" ca="1" si="21">IF(E27="بدون مرتب","بدون مرتب",IF(K27&lt;=TODAY(),"يوقف المرتب","يصرف المرتب"))</f>
        <v>يصرف المرتب</v>
      </c>
      <c r="O27" s="37"/>
      <c r="P27" s="37"/>
      <c r="Q27" s="4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 spans="1:33" ht="30.75" customHeight="1" thickTop="1" thickBot="1" x14ac:dyDescent="0.45">
      <c r="A28" s="26">
        <v>26</v>
      </c>
      <c r="B28" s="37">
        <v>37014</v>
      </c>
      <c r="C28" s="41" t="s">
        <v>62</v>
      </c>
      <c r="D28" s="29" t="s">
        <v>28</v>
      </c>
      <c r="E28" s="29" t="s">
        <v>29</v>
      </c>
      <c r="F28" s="29"/>
      <c r="G28" s="30">
        <v>46036</v>
      </c>
      <c r="H28" s="29" t="s">
        <v>38</v>
      </c>
      <c r="I28" s="30">
        <v>45170</v>
      </c>
      <c r="J28" s="30">
        <v>45169</v>
      </c>
      <c r="K28" s="32">
        <f t="shared" ref="K28" si="22">EDATE(I28,60)</f>
        <v>46997</v>
      </c>
      <c r="L28" s="33">
        <f t="shared" ref="L28" ca="1" si="23">IF(K28="","",MAX(0,K28-TODAY()))</f>
        <v>738</v>
      </c>
      <c r="M28" s="33" t="str">
        <f ca="1">IF(J27="",K73,IF(J27&gt;=TODAY(),"سارية","منتهية"))</f>
        <v>منتهية</v>
      </c>
      <c r="N28" s="34" t="str">
        <f t="shared" ref="N28" ca="1" si="24">IF(E28="بدون مرتب","بدون مرتب",IF(K28&lt;=TODAY(),"يوقف المرتب","يصرف المرتب"))</f>
        <v>يصرف المرتب</v>
      </c>
      <c r="O28" s="37"/>
      <c r="P28" s="37"/>
      <c r="Q28" s="4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</row>
    <row r="29" spans="1:33" ht="30.75" customHeight="1" thickTop="1" thickBot="1" x14ac:dyDescent="0.45">
      <c r="A29" s="26">
        <v>27</v>
      </c>
      <c r="B29" s="37">
        <v>36994</v>
      </c>
      <c r="C29" s="37" t="s">
        <v>62</v>
      </c>
      <c r="D29" s="28" t="s">
        <v>33</v>
      </c>
      <c r="E29" s="29" t="s">
        <v>29</v>
      </c>
      <c r="F29" s="28">
        <v>828</v>
      </c>
      <c r="G29" s="31">
        <v>46043</v>
      </c>
      <c r="H29" s="29" t="s">
        <v>38</v>
      </c>
      <c r="I29" s="30">
        <v>44354</v>
      </c>
      <c r="J29" s="31">
        <v>46179</v>
      </c>
      <c r="K29" s="32">
        <f t="shared" ref="K29" si="25">EDATE(I29,60)</f>
        <v>46180</v>
      </c>
      <c r="L29" s="33">
        <f t="shared" ref="L29" ca="1" si="26">IF(K29="","",MAX(0,K29-TODAY()))</f>
        <v>0</v>
      </c>
      <c r="M29" s="33" t="str">
        <f ca="1">IF(J28="",K74,IF(J28&gt;=TODAY(),"سارية","منتهية"))</f>
        <v>منتهية</v>
      </c>
      <c r="N29" s="34" t="str">
        <f t="shared" ref="N29" ca="1" si="27">IF(E29="بدون مرتب","بدون مرتب",IF(K29&lt;=TODAY(),"يوقف المرتب","يصرف المرتب"))</f>
        <v>يوقف المرتب</v>
      </c>
      <c r="O29" s="37"/>
      <c r="P29" s="37"/>
      <c r="Q29" s="4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 spans="1:33" ht="30.75" customHeight="1" thickTop="1" thickBot="1" x14ac:dyDescent="0.45">
      <c r="A30" s="26">
        <v>28</v>
      </c>
      <c r="B30" s="37">
        <v>37075</v>
      </c>
      <c r="C30" s="37" t="s">
        <v>63</v>
      </c>
      <c r="D30" s="29" t="s">
        <v>28</v>
      </c>
      <c r="E30" s="29" t="s">
        <v>29</v>
      </c>
      <c r="F30" s="29">
        <v>1159</v>
      </c>
      <c r="G30" s="30">
        <v>46057</v>
      </c>
      <c r="H30" s="29" t="s">
        <v>38</v>
      </c>
      <c r="I30" s="30">
        <v>45258</v>
      </c>
      <c r="J30" s="30">
        <v>46353</v>
      </c>
      <c r="K30" s="32">
        <f t="shared" ref="K30" si="28">EDATE(I30,60)</f>
        <v>47085</v>
      </c>
      <c r="L30" s="33">
        <f t="shared" ref="L30" ca="1" si="29">IF(K30="","",MAX(0,K30-TODAY()))</f>
        <v>826</v>
      </c>
      <c r="M30" s="33" t="str">
        <f ca="1">IF(J29="",K75,IF(J29&gt;=TODAY(),"سارية","منتهية"))</f>
        <v>منتهية</v>
      </c>
      <c r="N30" s="34" t="str">
        <f t="shared" ref="N30" ca="1" si="30">IF(E30="بدون مرتب","بدون مرتب",IF(K30&lt;=TODAY(),"يوقف المرتب","يصرف المرتب"))</f>
        <v>يصرف المرتب</v>
      </c>
      <c r="O30" s="37"/>
      <c r="P30" s="37"/>
      <c r="Q30" s="4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spans="1:33" ht="30.75" customHeight="1" thickTop="1" thickBot="1" x14ac:dyDescent="0.45">
      <c r="A31" s="26">
        <v>29</v>
      </c>
      <c r="B31" s="37">
        <v>37081</v>
      </c>
      <c r="C31" s="41" t="s">
        <v>64</v>
      </c>
      <c r="D31" s="28" t="s">
        <v>28</v>
      </c>
      <c r="E31" s="29" t="s">
        <v>29</v>
      </c>
      <c r="F31" s="28">
        <v>10784</v>
      </c>
      <c r="G31" s="31">
        <v>45956</v>
      </c>
      <c r="H31" s="29" t="s">
        <v>38</v>
      </c>
      <c r="I31" s="30">
        <v>45154</v>
      </c>
      <c r="J31" s="31">
        <v>46250</v>
      </c>
      <c r="K31" s="32">
        <f t="shared" ref="K31" si="31">EDATE(I31,60)</f>
        <v>46981</v>
      </c>
      <c r="L31" s="33">
        <f t="shared" ref="L31" ca="1" si="32">IF(K31="","",MAX(0,K31-TODAY()))</f>
        <v>722</v>
      </c>
      <c r="M31" s="33" t="str">
        <f ca="1">IF(J30="",K76,IF(J30&gt;=TODAY(),"سارية","منتهية"))</f>
        <v>سارية</v>
      </c>
      <c r="N31" s="34" t="str">
        <f t="shared" ref="N31" ca="1" si="33">IF(E31="بدون مرتب","بدون مرتب",IF(K31&lt;=TODAY(),"يوقف المرتب","يصرف المرتب"))</f>
        <v>يصرف المرتب</v>
      </c>
      <c r="O31" s="37"/>
      <c r="P31" s="37"/>
      <c r="Q31" s="4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spans="1:33" ht="30.75" customHeight="1" thickTop="1" thickBot="1" x14ac:dyDescent="0.45">
      <c r="A32" s="26">
        <v>30</v>
      </c>
      <c r="B32" s="37">
        <v>37020</v>
      </c>
      <c r="C32" s="41" t="s">
        <v>65</v>
      </c>
      <c r="D32" s="29" t="s">
        <v>28</v>
      </c>
      <c r="E32" s="29" t="s">
        <v>29</v>
      </c>
      <c r="F32" s="29">
        <v>10482</v>
      </c>
      <c r="G32" s="30">
        <v>45949</v>
      </c>
      <c r="H32" s="29" t="s">
        <v>38</v>
      </c>
      <c r="I32" s="30">
        <v>44809</v>
      </c>
      <c r="J32" s="30">
        <v>46270</v>
      </c>
      <c r="K32" s="32">
        <f t="shared" ref="K32" si="34">EDATE(I32,60)</f>
        <v>46635</v>
      </c>
      <c r="L32" s="33">
        <f t="shared" ref="L32" ca="1" si="35">IF(K32="","",MAX(0,K32-TODAY()))</f>
        <v>376</v>
      </c>
      <c r="M32" s="33" t="str">
        <f ca="1">IF(J31="",K77,IF(J31&gt;=TODAY(),"سارية","منتهية"))</f>
        <v>منتهية</v>
      </c>
      <c r="N32" s="34" t="str">
        <f t="shared" ref="N32" ca="1" si="36">IF(E32="بدون مرتب","بدون مرتب",IF(K32&lt;=TODAY(),"يوقف المرتب","يصرف المرتب"))</f>
        <v>يصرف المرتب</v>
      </c>
      <c r="O32" s="37"/>
      <c r="P32" s="37"/>
      <c r="Q32" s="4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</row>
    <row r="33" spans="1:33" ht="30.75" customHeight="1" thickTop="1" thickBot="1" x14ac:dyDescent="0.45">
      <c r="A33" s="26">
        <v>31</v>
      </c>
      <c r="B33" s="37">
        <v>37047</v>
      </c>
      <c r="C33" s="41" t="s">
        <v>66</v>
      </c>
      <c r="D33" s="28" t="s">
        <v>28</v>
      </c>
      <c r="E33" s="29" t="s">
        <v>29</v>
      </c>
      <c r="F33" s="28">
        <v>1071</v>
      </c>
      <c r="G33" s="31">
        <v>46055</v>
      </c>
      <c r="H33" s="29" t="s">
        <v>38</v>
      </c>
      <c r="I33" s="30">
        <v>44922</v>
      </c>
      <c r="J33" s="31">
        <v>46382</v>
      </c>
      <c r="K33" s="32">
        <f t="shared" ref="K33:K34" si="37">EDATE(I33,60)</f>
        <v>46748</v>
      </c>
      <c r="L33" s="33">
        <f t="shared" ref="L33:L34" ca="1" si="38">IF(K33="","",MAX(0,K33-TODAY()))</f>
        <v>489</v>
      </c>
      <c r="M33" s="33" t="str">
        <f ca="1">IF(J32="",K78,IF(J32&gt;=TODAY(),"سارية","منتهية"))</f>
        <v>سارية</v>
      </c>
      <c r="N33" s="34" t="str">
        <f t="shared" ref="N33:N34" ca="1" si="39">IF(E33="بدون مرتب","بدون مرتب",IF(K33&lt;=TODAY(),"يوقف المرتب","يصرف المرتب"))</f>
        <v>يصرف المرتب</v>
      </c>
      <c r="O33" s="37"/>
      <c r="P33" s="37"/>
      <c r="Q33" s="4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spans="1:33" ht="30.75" customHeight="1" thickTop="1" thickBot="1" x14ac:dyDescent="0.45">
      <c r="A34" s="26">
        <v>32</v>
      </c>
      <c r="B34" s="37">
        <v>37088</v>
      </c>
      <c r="C34" s="37" t="s">
        <v>67</v>
      </c>
      <c r="D34" s="29" t="s">
        <v>33</v>
      </c>
      <c r="E34" s="29" t="s">
        <v>29</v>
      </c>
      <c r="F34" s="29">
        <v>10481</v>
      </c>
      <c r="G34" s="30">
        <v>45949</v>
      </c>
      <c r="H34" s="29" t="s">
        <v>38</v>
      </c>
      <c r="I34" s="30">
        <v>45141</v>
      </c>
      <c r="J34" s="30">
        <v>46236</v>
      </c>
      <c r="K34" s="32">
        <f t="shared" si="37"/>
        <v>46968</v>
      </c>
      <c r="L34" s="33">
        <f t="shared" ca="1" si="38"/>
        <v>709</v>
      </c>
      <c r="M34" s="33" t="str">
        <f ca="1">IF(J33="",K79,IF(J33&gt;=TODAY(),"سارية","منتهية"))</f>
        <v>سارية</v>
      </c>
      <c r="N34" s="34" t="str">
        <f t="shared" ca="1" si="39"/>
        <v>يصرف المرتب</v>
      </c>
      <c r="O34" s="37"/>
      <c r="P34" s="37"/>
      <c r="Q34" s="4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ht="30.75" customHeight="1" thickTop="1" thickBot="1" x14ac:dyDescent="0.45">
      <c r="A35" s="26">
        <v>33</v>
      </c>
      <c r="B35" s="37">
        <v>37185</v>
      </c>
      <c r="C35" s="41" t="s">
        <v>68</v>
      </c>
      <c r="D35" s="28" t="s">
        <v>28</v>
      </c>
      <c r="E35" s="29" t="s">
        <v>29</v>
      </c>
      <c r="F35" s="28">
        <v>721</v>
      </c>
      <c r="G35" s="31">
        <v>46042</v>
      </c>
      <c r="H35" s="29" t="s">
        <v>38</v>
      </c>
      <c r="I35" s="30" t="s">
        <v>69</v>
      </c>
      <c r="J35" s="31">
        <v>46237</v>
      </c>
      <c r="K35" s="32">
        <f>EDATE(I34,60)</f>
        <v>46968</v>
      </c>
      <c r="L35" s="33">
        <f ca="1">IF(K35="","",MAX(0,K35-TODAY()))</f>
        <v>709</v>
      </c>
      <c r="M35" s="33" t="str">
        <f ca="1">IF(J33="",K79,IF(J33&gt;=TODAY(),"سارية","منتهية"))</f>
        <v>سارية</v>
      </c>
      <c r="N35" s="34" t="str">
        <f ca="1">IF(E34="بدون مرتب","بدون مرتب",IF(K35&lt;=TODAY(),"يوقف المرتب","يصرف المرتب"))</f>
        <v>يصرف المرتب</v>
      </c>
      <c r="O35" s="37"/>
      <c r="P35" s="37"/>
      <c r="Q35" s="4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30.75" customHeight="1" thickTop="1" thickBot="1" x14ac:dyDescent="0.45">
      <c r="A36" s="26">
        <v>34</v>
      </c>
      <c r="B36" s="37">
        <v>370767</v>
      </c>
      <c r="C36" s="37" t="s">
        <v>70</v>
      </c>
      <c r="D36" s="29" t="s">
        <v>49</v>
      </c>
      <c r="E36" s="29" t="s">
        <v>29</v>
      </c>
      <c r="F36" s="29">
        <v>648</v>
      </c>
      <c r="G36" s="30">
        <v>45852</v>
      </c>
      <c r="H36" s="29" t="s">
        <v>38</v>
      </c>
      <c r="I36" s="30">
        <v>44716</v>
      </c>
      <c r="J36" s="30">
        <v>46177</v>
      </c>
      <c r="K36" s="32">
        <f>EDATE(I36,60)</f>
        <v>46542</v>
      </c>
      <c r="L36" s="33">
        <f ca="1">IF(K36="","",MAX(0,K36-TODAY()))</f>
        <v>283</v>
      </c>
      <c r="M36" s="33" t="str">
        <f ca="1">IF(J35="",K81,IF(J35&gt;=TODAY(),"سارية","منتهية"))</f>
        <v>منتهية</v>
      </c>
      <c r="N36" s="34" t="str">
        <f t="shared" ref="N35:N36" ca="1" si="40">IF(E36="بدون مرتب","بدون مرتب",IF(K36&lt;=TODAY(),"يوقف المرتب","يصرف المرتب"))</f>
        <v>يصرف المرتب</v>
      </c>
      <c r="O36" s="37"/>
      <c r="P36" s="37"/>
      <c r="Q36" s="40"/>
    </row>
    <row r="37" spans="1:33" ht="30.75" customHeight="1" thickTop="1" thickBot="1" x14ac:dyDescent="0.45">
      <c r="A37" s="26">
        <v>35</v>
      </c>
      <c r="B37" s="37">
        <v>37117</v>
      </c>
      <c r="C37" s="37" t="s">
        <v>71</v>
      </c>
      <c r="D37" s="28" t="s">
        <v>72</v>
      </c>
      <c r="E37" s="29" t="s">
        <v>29</v>
      </c>
      <c r="F37" s="28">
        <v>6771</v>
      </c>
      <c r="G37" s="31">
        <v>45858</v>
      </c>
      <c r="H37" s="29" t="s">
        <v>38</v>
      </c>
      <c r="I37" s="30">
        <v>44682</v>
      </c>
      <c r="J37" s="31">
        <v>46142</v>
      </c>
      <c r="K37" s="32">
        <f>EDATE(I37,60)</f>
        <v>46508</v>
      </c>
      <c r="L37" s="33">
        <f ca="1">IF(K37="","",MAX(0,K37-TODAY()))</f>
        <v>249</v>
      </c>
      <c r="M37" s="33" t="str">
        <f ca="1">IF(J36="",K82,IF(J36&gt;=TODAY(),"سارية","منتهية"))</f>
        <v>منتهية</v>
      </c>
      <c r="N37" s="34" t="str">
        <f t="shared" ref="N37" ca="1" si="41">IF(E37="بدون مرتب","بدون مرتب",IF(K37&lt;=TODAY(),"يوقف المرتب","يصرف المرتب"))</f>
        <v>يصرف المرتب</v>
      </c>
      <c r="O37" s="37"/>
      <c r="P37" s="37"/>
      <c r="Q37" s="40"/>
    </row>
    <row r="38" spans="1:33" ht="30.75" customHeight="1" thickTop="1" thickBot="1" x14ac:dyDescent="0.45">
      <c r="A38" s="26">
        <v>36</v>
      </c>
      <c r="B38" s="37">
        <v>37150</v>
      </c>
      <c r="C38" s="37" t="s">
        <v>73</v>
      </c>
      <c r="D38" s="29" t="s">
        <v>33</v>
      </c>
      <c r="E38" s="29" t="s">
        <v>29</v>
      </c>
      <c r="F38" s="29">
        <v>7925</v>
      </c>
      <c r="G38" s="30">
        <v>45888</v>
      </c>
      <c r="H38" s="29" t="s">
        <v>38</v>
      </c>
      <c r="I38" s="30">
        <v>45084</v>
      </c>
      <c r="J38" s="30">
        <v>46179</v>
      </c>
      <c r="K38" s="32">
        <f>EDATE(I38,60)</f>
        <v>46911</v>
      </c>
      <c r="L38" s="33">
        <f ca="1">IF(K38="","",MAX(0,K38-TODAY()))</f>
        <v>652</v>
      </c>
      <c r="M38" s="33" t="str">
        <f ca="1">IF(J37="",K83,IF(J37&gt;=TODAY(),"سارية","منتهية"))</f>
        <v>منتهية</v>
      </c>
      <c r="N38" s="34" t="str">
        <f t="shared" ref="N38" ca="1" si="42">IF(E38="بدون مرتب","بدون مرتب",IF(K38&lt;=TODAY(),"يوقف المرتب","يصرف المرتب"))</f>
        <v>يصرف المرتب</v>
      </c>
      <c r="O38" s="37"/>
      <c r="P38" s="37"/>
      <c r="Q38" s="40"/>
    </row>
    <row r="39" spans="1:33" ht="30.75" customHeight="1" thickTop="1" thickBot="1" x14ac:dyDescent="0.45">
      <c r="A39" s="26">
        <v>37</v>
      </c>
      <c r="B39" s="37">
        <v>37138</v>
      </c>
      <c r="C39" s="37" t="s">
        <v>74</v>
      </c>
      <c r="D39" s="28" t="s">
        <v>33</v>
      </c>
      <c r="E39" s="29" t="s">
        <v>29</v>
      </c>
      <c r="F39" s="28">
        <v>8122</v>
      </c>
      <c r="G39" s="31">
        <v>45890</v>
      </c>
      <c r="H39" s="29" t="s">
        <v>38</v>
      </c>
      <c r="I39" s="30">
        <v>44672</v>
      </c>
      <c r="J39" s="31">
        <v>46022</v>
      </c>
      <c r="K39" s="32">
        <f>EDATE(I39,60)</f>
        <v>46498</v>
      </c>
      <c r="L39" s="33">
        <f ca="1">IF(K39="","",MAX(0,K39-TODAY()))</f>
        <v>239</v>
      </c>
      <c r="M39" s="33" t="str">
        <f ca="1">IF(J38="",K84,IF(J38&gt;=TODAY(),"سارية","منتهية"))</f>
        <v>منتهية</v>
      </c>
      <c r="N39" s="34" t="str">
        <f t="shared" ref="N39" ca="1" si="43">IF(E39="بدون مرتب","بدون مرتب",IF(K39&lt;=TODAY(),"يوقف المرتب","يصرف المرتب"))</f>
        <v>يصرف المرتب</v>
      </c>
      <c r="O39" s="37"/>
      <c r="P39" s="37"/>
      <c r="Q39" s="40"/>
    </row>
    <row r="40" spans="1:33" ht="30.75" customHeight="1" thickTop="1" thickBot="1" x14ac:dyDescent="0.45">
      <c r="A40" s="26">
        <v>38</v>
      </c>
      <c r="B40" s="37">
        <v>37216</v>
      </c>
      <c r="C40" s="37" t="s">
        <v>75</v>
      </c>
      <c r="D40" s="29" t="s">
        <v>49</v>
      </c>
      <c r="E40" s="29" t="s">
        <v>29</v>
      </c>
      <c r="F40" s="29">
        <v>10485</v>
      </c>
      <c r="G40" s="30">
        <v>45949</v>
      </c>
      <c r="H40" s="29" t="s">
        <v>38</v>
      </c>
      <c r="I40" s="30">
        <v>45518</v>
      </c>
      <c r="J40" s="30">
        <v>46247</v>
      </c>
      <c r="K40" s="32">
        <f>EDATE(I40,60)</f>
        <v>47344</v>
      </c>
      <c r="L40" s="33">
        <f ca="1">IF(K40="","",MAX(0,K40-TODAY()))</f>
        <v>1085</v>
      </c>
      <c r="M40" s="33" t="str">
        <f ca="1">IF(J39="",K85,IF(J39&gt;=TODAY(),"سارية","منتهية"))</f>
        <v>منتهية</v>
      </c>
      <c r="N40" s="34" t="str">
        <f t="shared" ref="N40" ca="1" si="44">IF(E40="بدون مرتب","بدون مرتب",IF(K40&lt;=TODAY(),"يوقف المرتب","يصرف المرتب"))</f>
        <v>يصرف المرتب</v>
      </c>
      <c r="O40" s="37"/>
      <c r="P40" s="37"/>
      <c r="Q40" s="40"/>
    </row>
    <row r="41" spans="1:33" ht="30.75" customHeight="1" thickTop="1" thickBot="1" x14ac:dyDescent="0.45">
      <c r="A41" s="26">
        <v>39</v>
      </c>
      <c r="B41" s="37">
        <v>37108</v>
      </c>
      <c r="C41" s="37" t="s">
        <v>76</v>
      </c>
      <c r="D41" s="28" t="s">
        <v>72</v>
      </c>
      <c r="E41" s="29" t="s">
        <v>29</v>
      </c>
      <c r="F41" s="28">
        <v>558</v>
      </c>
      <c r="G41" s="31">
        <v>45676</v>
      </c>
      <c r="H41" s="29" t="s">
        <v>38</v>
      </c>
      <c r="I41" s="30">
        <v>45641</v>
      </c>
      <c r="J41" s="31">
        <v>46006</v>
      </c>
      <c r="K41" s="32">
        <f>EDATE(I41,60)</f>
        <v>47467</v>
      </c>
      <c r="L41" s="33">
        <f ca="1">IF(K41="","",MAX(0,K41-TODAY()))</f>
        <v>1208</v>
      </c>
      <c r="M41" s="33" t="str">
        <f ca="1">IF(J40="",K86,IF(J40&gt;=TODAY(),"سارية","منتهية"))</f>
        <v>منتهية</v>
      </c>
      <c r="N41" s="34" t="str">
        <f t="shared" ref="N41" ca="1" si="45">IF(E41="بدون مرتب","بدون مرتب",IF(K41&lt;=TODAY(),"يوقف المرتب","يصرف المرتب"))</f>
        <v>يصرف المرتب</v>
      </c>
      <c r="O41" s="37"/>
      <c r="P41" s="37"/>
      <c r="Q41" s="40"/>
    </row>
    <row r="42" spans="1:33" ht="30.75" customHeight="1" thickTop="1" thickBot="1" x14ac:dyDescent="0.45">
      <c r="A42" s="26">
        <v>40</v>
      </c>
      <c r="B42" s="37">
        <v>37137</v>
      </c>
      <c r="C42" s="41" t="s">
        <v>77</v>
      </c>
      <c r="D42" s="29" t="s">
        <v>28</v>
      </c>
      <c r="E42" s="29" t="s">
        <v>29</v>
      </c>
      <c r="F42" s="29">
        <v>7220</v>
      </c>
      <c r="G42" s="30">
        <v>45869</v>
      </c>
      <c r="H42" s="29" t="s">
        <v>38</v>
      </c>
      <c r="I42" s="30">
        <v>45529</v>
      </c>
      <c r="J42" s="30">
        <v>46260</v>
      </c>
      <c r="K42" s="32">
        <f>EDATE(I42,60)</f>
        <v>47355</v>
      </c>
      <c r="L42" s="33">
        <f ca="1">IF(K42="","",MAX(0,K42-TODAY()))</f>
        <v>1096</v>
      </c>
      <c r="M42" s="33" t="str">
        <f ca="1">IF(J41="",K87,IF(J41&gt;=TODAY(),"سارية","منتهية"))</f>
        <v>منتهية</v>
      </c>
      <c r="N42" s="34" t="str">
        <f t="shared" ref="N42" ca="1" si="46">IF(E42="بدون مرتب","بدون مرتب",IF(K42&lt;=TODAY(),"يوقف المرتب","يصرف المرتب"))</f>
        <v>يصرف المرتب</v>
      </c>
      <c r="O42" s="37"/>
      <c r="P42" s="37"/>
      <c r="Q42" s="40"/>
    </row>
    <row r="43" spans="1:33" ht="30.75" customHeight="1" thickTop="1" thickBot="1" x14ac:dyDescent="0.45">
      <c r="A43" s="26">
        <v>41</v>
      </c>
      <c r="B43" s="37">
        <v>37243</v>
      </c>
      <c r="C43" s="37" t="s">
        <v>78</v>
      </c>
      <c r="D43" s="28" t="s">
        <v>49</v>
      </c>
      <c r="E43" s="29" t="s">
        <v>29</v>
      </c>
      <c r="F43" s="28">
        <v>6770</v>
      </c>
      <c r="G43" s="31">
        <v>45858</v>
      </c>
      <c r="H43" s="29" t="s">
        <v>38</v>
      </c>
      <c r="I43" s="30">
        <v>45382</v>
      </c>
      <c r="J43" s="31">
        <v>45863</v>
      </c>
      <c r="K43" s="32">
        <f>EDATE(I43,60)</f>
        <v>47208</v>
      </c>
      <c r="L43" s="33">
        <f ca="1">IF(K43="","",MAX(0,K43-TODAY()))</f>
        <v>949</v>
      </c>
      <c r="M43" s="33" t="str">
        <f ca="1">IF(J42="",K88,IF(J42&gt;=TODAY(),"سارية","منتهية"))</f>
        <v>سارية</v>
      </c>
      <c r="N43" s="34" t="str">
        <f t="shared" ref="N43" ca="1" si="47">IF(E43="بدون مرتب","بدون مرتب",IF(K43&lt;=TODAY(),"يوقف المرتب","يصرف المرتب"))</f>
        <v>يصرف المرتب</v>
      </c>
      <c r="O43" s="37"/>
      <c r="P43" s="37"/>
      <c r="Q43" s="40"/>
    </row>
    <row r="44" spans="1:33" ht="30.75" customHeight="1" thickTop="1" thickBot="1" x14ac:dyDescent="0.45">
      <c r="A44" s="26">
        <v>42</v>
      </c>
      <c r="B44" s="37">
        <v>37139</v>
      </c>
      <c r="C44" s="37" t="s">
        <v>79</v>
      </c>
      <c r="D44" s="29" t="s">
        <v>72</v>
      </c>
      <c r="E44" s="29" t="s">
        <v>29</v>
      </c>
      <c r="F44" s="29">
        <v>6772</v>
      </c>
      <c r="G44" s="30">
        <v>45858</v>
      </c>
      <c r="H44" s="29" t="s">
        <v>38</v>
      </c>
      <c r="I44" s="30">
        <v>44680</v>
      </c>
      <c r="J44" s="30">
        <v>46140</v>
      </c>
      <c r="K44" s="32">
        <f>EDATE(I44,60)</f>
        <v>46506</v>
      </c>
      <c r="L44" s="33">
        <f ca="1">IF(K44="","",MAX(0,K44-TODAY()))</f>
        <v>247</v>
      </c>
      <c r="M44" s="33" t="str">
        <f ca="1">IF(J43="",K89,IF(J43&gt;=TODAY(),"سارية","منتهية"))</f>
        <v>منتهية</v>
      </c>
      <c r="N44" s="34" t="str">
        <f t="shared" ref="N44" ca="1" si="48">IF(E44="بدون مرتب","بدون مرتب",IF(K44&lt;=TODAY(),"يوقف المرتب","يصرف المرتب"))</f>
        <v>يصرف المرتب</v>
      </c>
      <c r="O44" s="37"/>
      <c r="P44" s="37"/>
      <c r="Q44" s="40"/>
    </row>
    <row r="45" spans="1:33" ht="30.75" customHeight="1" thickTop="1" thickBot="1" x14ac:dyDescent="0.45">
      <c r="A45" s="26">
        <v>43</v>
      </c>
      <c r="B45" s="37">
        <v>37102</v>
      </c>
      <c r="C45" s="37" t="s">
        <v>80</v>
      </c>
      <c r="D45" s="28" t="s">
        <v>53</v>
      </c>
      <c r="E45" s="29" t="s">
        <v>29</v>
      </c>
      <c r="F45" s="28">
        <v>3822</v>
      </c>
      <c r="G45" s="31">
        <v>46153</v>
      </c>
      <c r="H45" s="29" t="s">
        <v>38</v>
      </c>
      <c r="I45" s="30">
        <v>45292</v>
      </c>
      <c r="J45" s="31">
        <v>46387</v>
      </c>
      <c r="K45" s="32">
        <f>EDATE(I45,60)</f>
        <v>47119</v>
      </c>
      <c r="L45" s="33">
        <f ca="1">IF(K45="","",MAX(0,K45-TODAY()))</f>
        <v>860</v>
      </c>
      <c r="M45" s="33" t="str">
        <f ca="1">IF(J44="",K90,IF(J44&gt;=TODAY(),"سارية","منتهية"))</f>
        <v>منتهية</v>
      </c>
      <c r="N45" s="34" t="str">
        <f t="shared" ref="N45" ca="1" si="49">IF(E45="بدون مرتب","بدون مرتب",IF(K45&lt;=TODAY(),"يوقف المرتب","يصرف المرتب"))</f>
        <v>يصرف المرتب</v>
      </c>
      <c r="O45" s="37"/>
      <c r="P45" s="37"/>
      <c r="Q45" s="40"/>
    </row>
    <row r="46" spans="1:33" ht="30.75" customHeight="1" thickTop="1" thickBot="1" x14ac:dyDescent="0.45">
      <c r="A46" s="26">
        <v>44</v>
      </c>
      <c r="B46" s="37">
        <v>37021</v>
      </c>
      <c r="C46" s="37" t="s">
        <v>81</v>
      </c>
      <c r="D46" s="29" t="s">
        <v>28</v>
      </c>
      <c r="E46" s="29" t="s">
        <v>29</v>
      </c>
      <c r="F46" s="29">
        <v>39416</v>
      </c>
      <c r="G46" s="30">
        <v>46145</v>
      </c>
      <c r="H46" s="29" t="s">
        <v>38</v>
      </c>
      <c r="I46" s="30">
        <v>45668</v>
      </c>
      <c r="J46" s="30">
        <v>46397</v>
      </c>
      <c r="K46" s="32">
        <f>EDATE(I46,60)</f>
        <v>47494</v>
      </c>
      <c r="L46" s="33">
        <f ca="1">IF(K46="","",MAX(0,K46-TODAY()))</f>
        <v>1235</v>
      </c>
      <c r="M46" s="33" t="str">
        <f ca="1">IF(J45="",K91,IF(J45&gt;=TODAY(),"سارية","منتهية"))</f>
        <v>سارية</v>
      </c>
      <c r="N46" s="34" t="str">
        <f t="shared" ref="N46" ca="1" si="50">IF(E46="بدون مرتب","بدون مرتب",IF(K46&lt;=TODAY(),"يوقف المرتب","يصرف المرتب"))</f>
        <v>يصرف المرتب</v>
      </c>
      <c r="O46" s="37"/>
      <c r="P46" s="37"/>
      <c r="Q46" s="40"/>
    </row>
    <row r="47" spans="1:33" ht="30.75" customHeight="1" thickTop="1" thickBot="1" x14ac:dyDescent="0.45">
      <c r="A47" s="26">
        <v>45</v>
      </c>
      <c r="B47" s="37">
        <v>37213</v>
      </c>
      <c r="C47" s="37" t="s">
        <v>82</v>
      </c>
      <c r="D47" s="28" t="s">
        <v>33</v>
      </c>
      <c r="E47" s="29" t="s">
        <v>29</v>
      </c>
      <c r="F47" s="28">
        <v>3257</v>
      </c>
      <c r="G47" s="31">
        <v>46131</v>
      </c>
      <c r="H47" s="29" t="s">
        <v>38</v>
      </c>
      <c r="I47" s="30">
        <v>45888</v>
      </c>
      <c r="J47" s="31">
        <v>46252</v>
      </c>
      <c r="K47" s="32">
        <f>EDATE(I47,60)</f>
        <v>47714</v>
      </c>
      <c r="L47" s="33">
        <f ca="1">IF(K47="","",MAX(0,K47-TODAY()))</f>
        <v>1455</v>
      </c>
      <c r="M47" s="33" t="str">
        <f ca="1">IF(J46="",K92,IF(J46&gt;=TODAY(),"سارية","منتهية"))</f>
        <v>سارية</v>
      </c>
      <c r="N47" s="34" t="str">
        <f t="shared" ref="N47" ca="1" si="51">IF(E47="بدون مرتب","بدون مرتب",IF(K47&lt;=TODAY(),"يوقف المرتب","يصرف المرتب"))</f>
        <v>يصرف المرتب</v>
      </c>
      <c r="O47" s="37"/>
      <c r="P47" s="37"/>
      <c r="Q47" s="40"/>
    </row>
    <row r="48" spans="1:33" ht="30.75" customHeight="1" thickTop="1" thickBot="1" x14ac:dyDescent="0.45">
      <c r="A48" s="26">
        <v>46</v>
      </c>
      <c r="B48" s="37">
        <v>37052</v>
      </c>
      <c r="C48" s="37" t="s">
        <v>83</v>
      </c>
      <c r="D48" s="29" t="s">
        <v>53</v>
      </c>
      <c r="E48" s="29" t="s">
        <v>29</v>
      </c>
      <c r="F48" s="29">
        <v>3353</v>
      </c>
      <c r="G48" s="30">
        <v>46135</v>
      </c>
      <c r="H48" s="29" t="s">
        <v>38</v>
      </c>
      <c r="I48" s="30">
        <v>44420</v>
      </c>
      <c r="J48" s="30">
        <v>46245</v>
      </c>
      <c r="K48" s="32">
        <f>EDATE(I48,60)</f>
        <v>46246</v>
      </c>
      <c r="L48" s="33">
        <f ca="1">IF(K48="","",MAX(0,K48-TODAY()))</f>
        <v>0</v>
      </c>
      <c r="M48" s="33" t="str">
        <f ca="1">IF(J47="",K93,IF(J47&gt;=TODAY(),"سارية","منتهية"))</f>
        <v>منتهية</v>
      </c>
      <c r="N48" s="34" t="str">
        <f t="shared" ref="N48" ca="1" si="52">IF(E48="بدون مرتب","بدون مرتب",IF(K48&lt;=TODAY(),"يوقف المرتب","يصرف المرتب"))</f>
        <v>يوقف المرتب</v>
      </c>
      <c r="O48" s="37"/>
      <c r="P48" s="37"/>
      <c r="Q48" s="40"/>
    </row>
    <row r="49" spans="1:17" ht="30.75" customHeight="1" thickTop="1" thickBot="1" x14ac:dyDescent="0.45">
      <c r="A49" s="26">
        <v>47</v>
      </c>
      <c r="B49" s="37">
        <v>37031</v>
      </c>
      <c r="C49" s="37" t="s">
        <v>84</v>
      </c>
      <c r="D49" s="28" t="s">
        <v>72</v>
      </c>
      <c r="E49" s="29" t="s">
        <v>29</v>
      </c>
      <c r="F49" s="28">
        <v>3076</v>
      </c>
      <c r="G49" s="31">
        <v>46126</v>
      </c>
      <c r="H49" s="29" t="s">
        <v>38</v>
      </c>
      <c r="I49" s="30">
        <v>45319</v>
      </c>
      <c r="J49" s="31">
        <v>46414</v>
      </c>
      <c r="K49" s="32">
        <f>EDATE(I49,60)</f>
        <v>47146</v>
      </c>
      <c r="L49" s="33">
        <f ca="1">IF(K49="","",MAX(0,K49-TODAY()))</f>
        <v>887</v>
      </c>
      <c r="M49" s="33" t="str">
        <f ca="1">IF(J48="",K94,IF(J48&gt;=TODAY(),"سارية","منتهية"))</f>
        <v>منتهية</v>
      </c>
      <c r="N49" s="34" t="str">
        <f t="shared" ref="N49" ca="1" si="53">IF(E49="بدون مرتب","بدون مرتب",IF(K49&lt;=TODAY(),"يوقف المرتب","يصرف المرتب"))</f>
        <v>يصرف المرتب</v>
      </c>
      <c r="O49" s="37"/>
      <c r="P49" s="37"/>
      <c r="Q49" s="40"/>
    </row>
    <row r="50" spans="1:17" ht="30.75" customHeight="1" thickTop="1" thickBot="1" x14ac:dyDescent="0.45">
      <c r="A50" s="26">
        <v>48</v>
      </c>
      <c r="B50" s="37">
        <v>37162</v>
      </c>
      <c r="C50" s="37" t="s">
        <v>85</v>
      </c>
      <c r="D50" s="29" t="s">
        <v>49</v>
      </c>
      <c r="E50" s="29" t="s">
        <v>29</v>
      </c>
      <c r="F50" s="29">
        <v>2970</v>
      </c>
      <c r="G50" s="30">
        <v>46121</v>
      </c>
      <c r="H50" s="29" t="s">
        <v>38</v>
      </c>
      <c r="I50" s="30">
        <v>44454</v>
      </c>
      <c r="J50" s="30">
        <v>46048</v>
      </c>
      <c r="K50" s="32">
        <f>EDATE(I50,60)</f>
        <v>46280</v>
      </c>
      <c r="L50" s="33">
        <f ca="1">IF(K50="","",MAX(0,K50-TODAY()))</f>
        <v>21</v>
      </c>
      <c r="M50" s="33" t="str">
        <f t="shared" ref="M50" ca="1" si="54">IF(J49="",K95,IF(J49&gt;=TODAY(),"سارية","منتهية"))</f>
        <v>سارية</v>
      </c>
      <c r="N50" s="34" t="str">
        <f t="shared" ref="N50" ca="1" si="55">IF(E50="بدون مرتب","بدون مرتب",IF(K50&lt;=TODAY(),"يوقف المرتب","يصرف المرتب"))</f>
        <v>يصرف المرتب</v>
      </c>
      <c r="O50" s="37"/>
      <c r="P50" s="37"/>
      <c r="Q50" s="40"/>
    </row>
    <row r="51" spans="1:17" ht="30.75" customHeight="1" thickTop="1" thickBot="1" x14ac:dyDescent="0.45">
      <c r="A51" s="26">
        <v>49</v>
      </c>
      <c r="B51" s="37">
        <v>35779</v>
      </c>
      <c r="C51" s="37" t="s">
        <v>86</v>
      </c>
      <c r="D51" s="28" t="s">
        <v>72</v>
      </c>
      <c r="E51" s="29" t="s">
        <v>29</v>
      </c>
      <c r="F51" s="28">
        <v>2971</v>
      </c>
      <c r="G51" s="31">
        <v>46121</v>
      </c>
      <c r="H51" s="29" t="s">
        <v>38</v>
      </c>
      <c r="I51" s="30">
        <v>44466</v>
      </c>
      <c r="J51" s="31">
        <v>46291</v>
      </c>
      <c r="K51" s="32">
        <f>EDATE(I51,60)</f>
        <v>46292</v>
      </c>
      <c r="L51" s="33">
        <f ca="1">IF(K51="","",MAX(0,K51-TODAY()))</f>
        <v>33</v>
      </c>
      <c r="M51" s="33" t="str">
        <f ca="1">IF(J50="",K96,IF(J50&gt;=TODAY(),"سارية","منتهية"))</f>
        <v>منتهية</v>
      </c>
      <c r="N51" s="34" t="str">
        <f ca="1">IF(E51="بدون مرتب","بدون مرتب",IF(K51&lt;=TODAY(),"يوقف المرتب","يصرف المرتب"))</f>
        <v>يصرف المرتب</v>
      </c>
      <c r="O51" s="37"/>
      <c r="P51" s="37"/>
      <c r="Q51" s="40"/>
    </row>
    <row r="52" spans="1:17" ht="30.75" customHeight="1" thickTop="1" thickBot="1" x14ac:dyDescent="0.45">
      <c r="A52" s="26">
        <v>50</v>
      </c>
      <c r="B52" s="37">
        <v>37283</v>
      </c>
      <c r="C52" s="37" t="s">
        <v>87</v>
      </c>
      <c r="D52" s="29" t="s">
        <v>49</v>
      </c>
      <c r="E52" s="29" t="s">
        <v>29</v>
      </c>
      <c r="F52" s="29">
        <v>2431</v>
      </c>
      <c r="G52" s="30">
        <v>46106</v>
      </c>
      <c r="H52" s="29" t="s">
        <v>38</v>
      </c>
      <c r="I52" s="30">
        <v>45934</v>
      </c>
      <c r="J52" s="30" t="s">
        <v>88</v>
      </c>
      <c r="K52" s="32">
        <f>EDATE(I52,60)</f>
        <v>47760</v>
      </c>
      <c r="L52" s="33">
        <f ca="1">IF(K52="","",MAX(0,K52-TODAY()))</f>
        <v>1501</v>
      </c>
      <c r="M52" s="33" t="str">
        <f ca="1">IF(J51="",K97,IF(J51&gt;=TODAY(),"سارية","منتهية"))</f>
        <v>سارية</v>
      </c>
      <c r="N52" s="34" t="str">
        <f ca="1">IF(E52="بدون مرتب","بدون مرتب",IF(K52&lt;=TODAY(),"يوقف المرتب","يصرف المرتب"))</f>
        <v>يصرف المرتب</v>
      </c>
      <c r="O52" s="37"/>
      <c r="P52" s="37"/>
      <c r="Q52" s="40"/>
    </row>
    <row r="53" spans="1:17" ht="30.75" customHeight="1" thickTop="1" thickBot="1" x14ac:dyDescent="0.45">
      <c r="A53" s="26">
        <v>51</v>
      </c>
      <c r="B53" s="37">
        <v>37160</v>
      </c>
      <c r="C53" s="37" t="s">
        <v>89</v>
      </c>
      <c r="D53" s="28" t="s">
        <v>72</v>
      </c>
      <c r="E53" s="29" t="s">
        <v>29</v>
      </c>
      <c r="F53" s="28">
        <v>2592</v>
      </c>
      <c r="G53" s="31">
        <v>46111</v>
      </c>
      <c r="H53" s="29" t="s">
        <v>38</v>
      </c>
      <c r="I53" s="30">
        <v>46023</v>
      </c>
      <c r="J53" s="31">
        <v>46387</v>
      </c>
      <c r="K53" s="32">
        <f>EDATE(I53,60)</f>
        <v>47849</v>
      </c>
      <c r="L53" s="33">
        <f ca="1">IF(K53="","",MAX(0,K53-TODAY()))</f>
        <v>1590</v>
      </c>
      <c r="M53" s="33" t="str">
        <f ca="1">IF(J52="",K98,IF(J52&gt;=TODAY(),"سارية","منتهية"))</f>
        <v>سارية</v>
      </c>
      <c r="N53" s="34" t="str">
        <f ca="1">IF(E53="بدون مرتب","بدون مرتب",IF(K53&lt;=TODAY(),"يوقف المرتب","يصرف المرتب"))</f>
        <v>يصرف المرتب</v>
      </c>
      <c r="O53" s="37"/>
      <c r="P53" s="37"/>
      <c r="Q53" s="40"/>
    </row>
    <row r="54" spans="1:17" ht="30.75" customHeight="1" thickTop="1" thickBot="1" x14ac:dyDescent="0.45">
      <c r="A54" s="26">
        <v>52</v>
      </c>
      <c r="B54" s="37">
        <v>37246</v>
      </c>
      <c r="C54" s="37" t="s">
        <v>90</v>
      </c>
      <c r="D54" s="29" t="s">
        <v>72</v>
      </c>
      <c r="E54" s="29" t="s">
        <v>29</v>
      </c>
      <c r="F54" s="29">
        <v>259</v>
      </c>
      <c r="G54" s="30">
        <v>46111</v>
      </c>
      <c r="H54" s="29" t="s">
        <v>38</v>
      </c>
      <c r="I54" s="30">
        <v>45679</v>
      </c>
      <c r="J54" s="30">
        <v>46044</v>
      </c>
      <c r="K54" s="32">
        <f>EDATE(I54,60)</f>
        <v>47505</v>
      </c>
      <c r="L54" s="33">
        <f ca="1">IF(K54="","",MAX(0,K54-TODAY()))</f>
        <v>1246</v>
      </c>
      <c r="M54" s="33" t="str">
        <f ca="1">IF(J53="",K99,IF(J53&gt;=TODAY(),"سارية","منتهية"))</f>
        <v>سارية</v>
      </c>
      <c r="N54" s="34" t="str">
        <f ca="1">IF(E54="بدون مرتب","بدون مرتب",IF(K54&lt;=TODAY(),"يوقف المرتب","يصرف المرتب"))</f>
        <v>يصرف المرتب</v>
      </c>
      <c r="O54" s="37"/>
      <c r="P54" s="37"/>
      <c r="Q54" s="40"/>
    </row>
    <row r="55" spans="1:17" ht="30.75" customHeight="1" thickTop="1" thickBot="1" x14ac:dyDescent="0.3">
      <c r="A55" s="26">
        <v>53</v>
      </c>
      <c r="B55" s="37"/>
      <c r="C55" s="37"/>
      <c r="D55" s="37"/>
      <c r="E55" s="38"/>
      <c r="F55" s="38"/>
      <c r="G55" s="37"/>
      <c r="H55" s="37"/>
      <c r="I55" s="37"/>
      <c r="J55" s="37"/>
      <c r="K55" s="37"/>
      <c r="L55" s="37"/>
      <c r="M55" s="39"/>
      <c r="N55" s="37"/>
      <c r="O55" s="37"/>
      <c r="P55" s="37"/>
      <c r="Q55" s="40"/>
    </row>
    <row r="56" spans="1:17" ht="30.75" customHeight="1" thickTop="1" thickBot="1" x14ac:dyDescent="0.3">
      <c r="A56" s="26">
        <v>54</v>
      </c>
      <c r="B56" s="37"/>
      <c r="C56" s="37"/>
      <c r="D56" s="37"/>
      <c r="E56" s="38"/>
      <c r="F56" s="38"/>
      <c r="G56" s="37"/>
      <c r="H56" s="37"/>
      <c r="I56" s="37"/>
      <c r="J56" s="37"/>
      <c r="K56" s="37"/>
      <c r="L56" s="37"/>
      <c r="M56" s="44">
        <f ca="1">IF(J56="",K68,IF(J56&gt;=TODAY(),"سارية","منتهية"))</f>
        <v>0</v>
      </c>
      <c r="N56" s="37"/>
      <c r="O56" s="37"/>
      <c r="P56" s="37"/>
      <c r="Q56" s="40"/>
    </row>
    <row r="57" spans="1:17" ht="30.75" customHeight="1" thickTop="1" thickBot="1" x14ac:dyDescent="0.3">
      <c r="A57" s="26">
        <v>55</v>
      </c>
      <c r="B57" s="37"/>
      <c r="C57" s="37"/>
      <c r="D57" s="37"/>
      <c r="E57" s="38"/>
      <c r="F57" s="38"/>
      <c r="G57" s="37"/>
      <c r="H57" s="37"/>
      <c r="I57" s="37"/>
      <c r="J57" s="37"/>
      <c r="K57" s="37"/>
      <c r="L57" s="37"/>
      <c r="M57" s="44">
        <f ca="1">IF(J57="",K69,IF(J57&gt;=TODAY(),"سارية","منتهية"))</f>
        <v>0</v>
      </c>
      <c r="N57" s="37"/>
      <c r="O57" s="37"/>
      <c r="P57" s="37"/>
      <c r="Q57" s="40"/>
    </row>
    <row r="58" spans="1:17" ht="30.75" customHeight="1" thickTop="1" thickBot="1" x14ac:dyDescent="0.3">
      <c r="A58" s="26">
        <v>56</v>
      </c>
      <c r="B58" s="37"/>
      <c r="C58" s="37"/>
      <c r="D58" s="37"/>
      <c r="E58" s="38"/>
      <c r="F58" s="38"/>
      <c r="G58" s="37"/>
      <c r="H58" s="37"/>
      <c r="I58" s="37"/>
      <c r="J58" s="37"/>
      <c r="K58" s="37"/>
      <c r="L58" s="37"/>
      <c r="M58" s="44">
        <f ca="1">IF(J58="",K68,IF(J58&gt;=TODAY(),"سارية","منتهية"))</f>
        <v>0</v>
      </c>
      <c r="N58" s="37"/>
      <c r="O58" s="37"/>
      <c r="P58" s="37"/>
      <c r="Q58" s="40"/>
    </row>
    <row r="59" spans="1:17" ht="30.75" customHeight="1" thickTop="1" thickBot="1" x14ac:dyDescent="0.3">
      <c r="A59" s="26">
        <v>57</v>
      </c>
      <c r="B59" s="37"/>
      <c r="C59" s="37"/>
      <c r="D59" s="37"/>
      <c r="E59" s="38"/>
      <c r="F59" s="38"/>
      <c r="G59" s="37"/>
      <c r="H59" s="37"/>
      <c r="I59" s="37"/>
      <c r="J59" s="37"/>
      <c r="K59" s="37"/>
      <c r="L59" s="37"/>
      <c r="M59" s="44">
        <f ca="1">IF(J59="",K69,IF(J59&gt;=TODAY(),"سارية","منتهية"))</f>
        <v>0</v>
      </c>
      <c r="N59" s="37"/>
      <c r="O59" s="37"/>
      <c r="P59" s="37"/>
      <c r="Q59" s="40"/>
    </row>
    <row r="60" spans="1:17" ht="30.75" customHeight="1" thickTop="1" thickBot="1" x14ac:dyDescent="0.3">
      <c r="A60" s="26">
        <v>58</v>
      </c>
      <c r="B60" s="37"/>
      <c r="C60" s="37"/>
      <c r="D60" s="37"/>
      <c r="E60" s="38"/>
      <c r="F60" s="38"/>
      <c r="G60" s="37"/>
      <c r="H60" s="37"/>
      <c r="I60" s="37"/>
      <c r="J60" s="37"/>
      <c r="K60" s="37"/>
      <c r="L60" s="37"/>
      <c r="M60" s="44">
        <f t="shared" ref="M60:M61" ca="1" si="56">IF(J60="",K68,IF(J60&gt;=TODAY(),"سارية","منتهية"))</f>
        <v>0</v>
      </c>
      <c r="N60" s="37"/>
      <c r="O60" s="37"/>
      <c r="P60" s="37"/>
      <c r="Q60" s="40"/>
    </row>
    <row r="61" spans="1:17" ht="30.75" customHeight="1" thickTop="1" thickBot="1" x14ac:dyDescent="0.3">
      <c r="A61" s="26">
        <v>59</v>
      </c>
      <c r="B61" s="37"/>
      <c r="C61" s="37"/>
      <c r="D61" s="37"/>
      <c r="E61" s="38"/>
      <c r="F61" s="38"/>
      <c r="G61" s="37"/>
      <c r="H61" s="37"/>
      <c r="I61" s="37"/>
      <c r="J61" s="37"/>
      <c r="K61" s="37"/>
      <c r="L61" s="37"/>
      <c r="M61" s="44">
        <f t="shared" ca="1" si="56"/>
        <v>0</v>
      </c>
      <c r="N61" s="37"/>
      <c r="O61" s="37"/>
      <c r="P61" s="37"/>
      <c r="Q61" s="40"/>
    </row>
    <row r="62" spans="1:17" ht="30.75" customHeight="1" thickTop="1" thickBot="1" x14ac:dyDescent="0.3">
      <c r="A62" s="26">
        <v>21</v>
      </c>
      <c r="B62" s="37"/>
      <c r="C62" s="37"/>
      <c r="D62" s="37"/>
      <c r="E62" s="38"/>
      <c r="F62" s="38"/>
      <c r="G62" s="37"/>
      <c r="H62" s="37"/>
      <c r="I62" s="37"/>
      <c r="J62" s="37"/>
      <c r="K62" s="37"/>
      <c r="L62" s="37"/>
      <c r="M62" s="39"/>
      <c r="N62" s="37"/>
      <c r="O62" s="37"/>
      <c r="P62" s="37"/>
      <c r="Q62" s="40"/>
    </row>
    <row r="63" spans="1:17" ht="30.75" customHeight="1" thickTop="1" thickBot="1" x14ac:dyDescent="0.3">
      <c r="A63" s="26">
        <v>22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9"/>
      <c r="N63" s="37"/>
      <c r="O63" s="37"/>
      <c r="P63" s="37"/>
      <c r="Q63" s="40"/>
    </row>
    <row r="64" spans="1:17" ht="30.75" customHeight="1" thickTop="1" x14ac:dyDescent="0.25">
      <c r="A64" s="24">
        <v>27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1:17" ht="30.75" customHeight="1" x14ac:dyDescent="0.25">
      <c r="A65" s="24">
        <v>28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1:17" ht="30.75" customHeight="1" x14ac:dyDescent="0.25">
      <c r="A66" s="24">
        <v>29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spans="1:17" ht="30.75" customHeight="1" x14ac:dyDescent="0.25">
      <c r="A67" s="24">
        <v>30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spans="1:17" ht="30.75" customHeight="1" x14ac:dyDescent="0.25">
      <c r="A68" s="24">
        <v>31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spans="1:17" ht="30.75" customHeight="1" x14ac:dyDescent="0.25">
      <c r="A69" s="24">
        <v>32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spans="1:17" ht="30.75" customHeight="1" x14ac:dyDescent="0.25">
      <c r="A70" s="24">
        <v>33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</sheetData>
  <sheetProtection formatCells="0" formatColumns="0"/>
  <conditionalFormatting sqref="L3:L63">
    <cfRule type="expression" dxfId="3" priority="6">
      <formula>AND(ISNUMBER($L3),$L3&lt;=90,$L3&gt;30)</formula>
    </cfRule>
  </conditionalFormatting>
  <conditionalFormatting sqref="L3:L75">
    <cfRule type="expression" dxfId="2" priority="5">
      <formula>AND(ISNUMBER($L3),$L3&lt;=30,$L3&gt;0)</formula>
    </cfRule>
  </conditionalFormatting>
  <conditionalFormatting sqref="N3:N407">
    <cfRule type="expression" dxfId="1" priority="17">
      <formula>$N3="يوقف المرتب"</formula>
    </cfRule>
  </conditionalFormatting>
  <conditionalFormatting sqref="N3:N1588">
    <cfRule type="expression" dxfId="0" priority="15">
      <formula>$N3="يصرف المرتب"</formula>
    </cfRule>
  </conditionalFormatting>
  <dataValidations count="2">
    <dataValidation type="list" allowBlank="1" showInputMessage="1" showErrorMessage="1" sqref="P1:P1048576" xr:uid="{00000000-0002-0000-0100-000000000000}">
      <formula1>"نعم و لا"</formula1>
    </dataValidation>
    <dataValidation type="list" allowBlank="1" showInputMessage="1" showErrorMessage="1" sqref="Q1:Q1048576" xr:uid="{00000000-0002-0000-0100-000001000000}">
      <formula1>"لا يوجد عليه مطالبه , جاري السداد , لم يسدد ,خالي الطرف"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>
      <selection activeCell="J25" sqref="J25"/>
    </sheetView>
  </sheetViews>
  <sheetFormatPr defaultRowHeight="15" x14ac:dyDescent="0.25"/>
  <sheetData/>
  <sheetProtection password="CC5B" sheet="1" selectLockedCells="1" selectUn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Dashborad</vt:lpstr>
      <vt:lpstr>الاجازات الدراسيه</vt:lpstr>
      <vt:lpstr>الاعدادات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HORIA</dc:creator>
  <cp:lastModifiedBy>HORIA</cp:lastModifiedBy>
  <cp:lastPrinted>2026-08-23T09:29:20Z</cp:lastPrinted>
  <dcterms:created xsi:type="dcterms:W3CDTF">2026-07-30T10:33:57Z</dcterms:created>
  <dcterms:modified xsi:type="dcterms:W3CDTF">2026-08-25T10:20:12Z</dcterms:modified>
</cp:coreProperties>
</file>